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F:\Documents\"/>
    </mc:Choice>
  </mc:AlternateContent>
  <xr:revisionPtr revIDLastSave="0" documentId="13_ncr:1_{5125B7F4-CC80-45E3-B90A-5DF9AC5E465B}" xr6:coauthVersionLast="47" xr6:coauthVersionMax="47" xr10:uidLastSave="{00000000-0000-0000-0000-000000000000}"/>
  <bookViews>
    <workbookView xWindow="-120" yWindow="-120" windowWidth="29040" windowHeight="15720" tabRatio="820" activeTab="3" xr2:uid="{08158EEE-FE72-43E3-95AB-4D02013F17A3}"/>
  </bookViews>
  <sheets>
    <sheet name="Table 1" sheetId="3" r:id="rId1"/>
    <sheet name="Table 2" sheetId="2" r:id="rId2"/>
    <sheet name="Pivot Tables" sheetId="1" r:id="rId3"/>
    <sheet name="Dashboard" sheetId="4" r:id="rId4"/>
  </sheets>
  <externalReferences>
    <externalReference r:id="rId5"/>
  </externalReferences>
  <definedNames>
    <definedName name="_xlchart.v5.0" hidden="1">'Pivot Tables'!$C$4</definedName>
    <definedName name="_xlchart.v5.1" hidden="1">'Pivot Tables'!$C$5:$C$41</definedName>
    <definedName name="_xlchart.v5.2" hidden="1">'Pivot Tables'!$D$4</definedName>
    <definedName name="_xlchart.v5.3" hidden="1">'Pivot Tables'!$D$5:$D$41</definedName>
    <definedName name="avgprices">'Table 2'!$D$1067:$D$1069</definedName>
    <definedName name="Cross">'Pivot Tables'!$R$25</definedName>
    <definedName name="ExternalData_1" localSheetId="1" hidden="1">'Table 2'!$A$1:$E$1065</definedName>
    <definedName name="ExternalData_2" localSheetId="0" hidden="1">'Table 1'!$A$1:$AC$39</definedName>
    <definedName name="HighestPmsPrice">'Pivot Tables'!$H$14</definedName>
    <definedName name="jigawa">'Pivot Tables'!$R$27</definedName>
    <definedName name="LowestPmsPrice">'Pivot Tables'!$H$13</definedName>
    <definedName name="percentage">Dashboard!$AC$17:$AC$20</definedName>
    <definedName name="percentage2">Dashboard!$AC$18</definedName>
    <definedName name="percentage3">Dashboard!$AC$19</definedName>
    <definedName name="Percentage4">Dashboard!$AC$20</definedName>
    <definedName name="PriceAverage">'Pivot Tables'!$H$15</definedName>
    <definedName name="profit">[1]CALCULATIONS!$I$8</definedName>
    <definedName name="profityoy">[1]CALCULATIONS!$M$8</definedName>
    <definedName name="Slicer_Month">#N/A</definedName>
    <definedName name="Slicer_State">#N/A</definedName>
    <definedName name="Slicer_Year">#N/A</definedName>
    <definedName name="sokoto">'Pivot Tables'!$R$28</definedName>
    <definedName name="StateswithVolatility">'Pivot Tables'!$S$25:$S$28</definedName>
    <definedName name="Volatility">'Pivot Tables'!$R$25:$S$28</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1" l="1"/>
  <c r="H15" i="1"/>
  <c r="R25" i="1" l="1"/>
  <c r="R26" i="1"/>
  <c r="R27" i="1"/>
  <c r="R28" i="1"/>
  <c r="N5" i="1"/>
  <c r="O5" i="1"/>
  <c r="N6" i="1"/>
  <c r="O6" i="1"/>
  <c r="N7" i="1"/>
  <c r="O7" i="1"/>
  <c r="N8" i="1"/>
  <c r="O8" i="1"/>
  <c r="N9" i="1"/>
  <c r="O9" i="1"/>
  <c r="H5" i="1"/>
  <c r="I5" i="1"/>
  <c r="H6" i="1"/>
  <c r="I6" i="1"/>
  <c r="H7" i="1"/>
  <c r="I7" i="1"/>
  <c r="H8" i="1"/>
  <c r="I8" i="1"/>
  <c r="H9" i="1"/>
  <c r="I9" i="1"/>
  <c r="H13" i="1"/>
  <c r="P4" i="1" l="1"/>
  <c r="P6" i="1" s="1"/>
  <c r="J4" i="1"/>
  <c r="J7" i="1" s="1"/>
  <c r="P8" i="1" l="1"/>
  <c r="P7" i="1"/>
  <c r="P5" i="1"/>
  <c r="P9" i="1"/>
  <c r="J6" i="1"/>
  <c r="J5" i="1"/>
  <c r="J8" i="1"/>
  <c r="J9" i="1"/>
  <c r="D15" i="1" l="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5" i="1"/>
  <c r="D1068" i="2"/>
  <c r="D1069" i="2"/>
  <c r="D1067" i="2"/>
  <c r="D20" i="1"/>
  <c r="D24" i="1"/>
  <c r="D28" i="1"/>
  <c r="D32" i="1"/>
  <c r="D36" i="1"/>
  <c r="D39" i="1"/>
  <c r="D13" i="1"/>
  <c r="D9" i="1"/>
  <c r="D5" i="1"/>
  <c r="Q26" i="1"/>
  <c r="D17" i="1"/>
  <c r="D21" i="1"/>
  <c r="D25" i="1"/>
  <c r="D29" i="1"/>
  <c r="D33" i="1"/>
  <c r="D37" i="1"/>
  <c r="D40" i="1"/>
  <c r="D12" i="1"/>
  <c r="D6" i="1"/>
  <c r="Q25" i="1"/>
  <c r="N16" i="1"/>
  <c r="D18" i="1"/>
  <c r="D22" i="1"/>
  <c r="D26" i="1"/>
  <c r="D30" i="1"/>
  <c r="D34" i="1"/>
  <c r="D38" i="1"/>
  <c r="D41" i="1"/>
  <c r="D11" i="1"/>
  <c r="D7" i="1"/>
  <c r="Q27" i="1"/>
  <c r="N18" i="1"/>
  <c r="D19" i="1"/>
  <c r="D23" i="1"/>
  <c r="D27" i="1"/>
  <c r="D31" i="1"/>
  <c r="D35" i="1"/>
  <c r="D16" i="1"/>
  <c r="D14" i="1"/>
  <c r="D10" i="1"/>
  <c r="D8" i="1"/>
  <c r="Q28" i="1"/>
  <c r="N17" i="1"/>
  <c r="S27" i="1" l="1"/>
  <c r="AC19" i="4" s="1"/>
  <c r="S26" i="1"/>
  <c r="AC18" i="4" s="1"/>
  <c r="S28" i="1"/>
  <c r="AC20" i="4" s="1"/>
  <c r="S25" i="1"/>
  <c r="AC17"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789381-6139-4AC0-881B-599EC0B20760}" keepAlive="1" name="Query - Table1_1" description="Connection to the 'Table1_1' query in the workbook." type="5" refreshedVersion="6" background="1" saveData="1">
    <dbPr connection="Provider=Microsoft.Mashup.OleDb.1;Data Source=$Workbook$;Location=Table1_1;Extended Properties=&quot;&quot;" command="SELECT * FROM [Table1_1]"/>
  </connection>
  <connection id="2" xr16:uid="{96567C75-9339-45E7-AF13-539B8C002460}" keepAlive="1" name="Query - Table11" description="Connection to the 'Table11' query in the workbook." type="5" refreshedVersion="6" background="1" saveData="1">
    <dbPr connection="Provider=Microsoft.Mashup.OleDb.1;Data Source=$Workbook$;Location=Table11;Extended Properties=&quot;&quot;" command="SELECT * FROM [Table11]"/>
  </connection>
</connections>
</file>

<file path=xl/sharedStrings.xml><?xml version="1.0" encoding="utf-8"?>
<sst xmlns="http://schemas.openxmlformats.org/spreadsheetml/2006/main" count="2382" uniqueCount="111">
  <si>
    <t xml:space="preserve">State </t>
  </si>
  <si>
    <t>DATE</t>
  </si>
  <si>
    <t>PRICE</t>
  </si>
  <si>
    <t>Year</t>
  </si>
  <si>
    <t>Sokoto</t>
  </si>
  <si>
    <t>January</t>
  </si>
  <si>
    <t>Plateau</t>
  </si>
  <si>
    <t>Borno</t>
  </si>
  <si>
    <t>Abuja</t>
  </si>
  <si>
    <t>May</t>
  </si>
  <si>
    <t>Kaduna</t>
  </si>
  <si>
    <t>April</t>
  </si>
  <si>
    <t>Benue</t>
  </si>
  <si>
    <t>March</t>
  </si>
  <si>
    <t>Nassarawa</t>
  </si>
  <si>
    <t>Niger</t>
  </si>
  <si>
    <t>February</t>
  </si>
  <si>
    <t>Yobe</t>
  </si>
  <si>
    <t>Bauchi</t>
  </si>
  <si>
    <t>Adamawa</t>
  </si>
  <si>
    <t>Anambra</t>
  </si>
  <si>
    <t>Rivers</t>
  </si>
  <si>
    <t>Bayelsa</t>
  </si>
  <si>
    <t>Edo</t>
  </si>
  <si>
    <t>Kogi</t>
  </si>
  <si>
    <t>Akwa Ibom</t>
  </si>
  <si>
    <t>Kwara</t>
  </si>
  <si>
    <t>Ogun</t>
  </si>
  <si>
    <t>Lagos</t>
  </si>
  <si>
    <t>Oyo</t>
  </si>
  <si>
    <t>Zamfara</t>
  </si>
  <si>
    <t>Cross River</t>
  </si>
  <si>
    <t>Gombe</t>
  </si>
  <si>
    <t>Abia</t>
  </si>
  <si>
    <t>Delta</t>
  </si>
  <si>
    <t>Osun</t>
  </si>
  <si>
    <t>Kano</t>
  </si>
  <si>
    <t>Taraba</t>
  </si>
  <si>
    <t>Ondo</t>
  </si>
  <si>
    <t>Ebonyi</t>
  </si>
  <si>
    <t>Avg</t>
  </si>
  <si>
    <t>Ekiti</t>
  </si>
  <si>
    <t>Katsina</t>
  </si>
  <si>
    <t>Jigawa</t>
  </si>
  <si>
    <t>Kebbi</t>
  </si>
  <si>
    <t>Enugu</t>
  </si>
  <si>
    <t>Imo</t>
  </si>
  <si>
    <t>July</t>
  </si>
  <si>
    <t>June</t>
  </si>
  <si>
    <t>October</t>
  </si>
  <si>
    <t>August</t>
  </si>
  <si>
    <t>September</t>
  </si>
  <si>
    <t>December</t>
  </si>
  <si>
    <t>November</t>
  </si>
  <si>
    <t>Dec-23</t>
  </si>
  <si>
    <t>Nov-23</t>
  </si>
  <si>
    <t>Oct-23</t>
  </si>
  <si>
    <t>Sep-23</t>
  </si>
  <si>
    <t>Aug-23</t>
  </si>
  <si>
    <t>Jul-23</t>
  </si>
  <si>
    <t>Jun-23</t>
  </si>
  <si>
    <t>May-23</t>
  </si>
  <si>
    <t>Apr-23</t>
  </si>
  <si>
    <t>Mar-23</t>
  </si>
  <si>
    <t>Feb-23</t>
  </si>
  <si>
    <t>Jan-23</t>
  </si>
  <si>
    <t>Dec-24</t>
  </si>
  <si>
    <t>Nov-24</t>
  </si>
  <si>
    <t>Oct-24</t>
  </si>
  <si>
    <t>Sep-24</t>
  </si>
  <si>
    <t>Aug-24</t>
  </si>
  <si>
    <t>Jul-24</t>
  </si>
  <si>
    <t>Jun-24</t>
  </si>
  <si>
    <t>May-24</t>
  </si>
  <si>
    <t>Apr-24</t>
  </si>
  <si>
    <t>Mar-24</t>
  </si>
  <si>
    <t>Feb-24</t>
  </si>
  <si>
    <t>Jan-24</t>
  </si>
  <si>
    <t>Apr-25</t>
  </si>
  <si>
    <t>Mar-25</t>
  </si>
  <si>
    <t>Feb-25</t>
  </si>
  <si>
    <t>Jan-25</t>
  </si>
  <si>
    <t>Month</t>
  </si>
  <si>
    <t>Row Labels</t>
  </si>
  <si>
    <t>Sum of PRICE</t>
  </si>
  <si>
    <t>Top 5 Highest States</t>
  </si>
  <si>
    <t>Average Pms Prices Year</t>
  </si>
  <si>
    <t>Regional Price differeneces</t>
  </si>
  <si>
    <t>North</t>
  </si>
  <si>
    <t>South</t>
  </si>
  <si>
    <t>Highest</t>
  </si>
  <si>
    <t>Lowest</t>
  </si>
  <si>
    <t>States With the Highest Volatitlity</t>
  </si>
  <si>
    <t xml:space="preserve">States </t>
  </si>
  <si>
    <t>Trend</t>
  </si>
  <si>
    <t>Price Change</t>
  </si>
  <si>
    <t>AVG</t>
  </si>
  <si>
    <t>2025</t>
  </si>
  <si>
    <t>2023</t>
  </si>
  <si>
    <t>Top 5 lowest Sates</t>
  </si>
  <si>
    <t>Max</t>
  </si>
  <si>
    <t>Min</t>
  </si>
  <si>
    <t>Years</t>
  </si>
  <si>
    <t>State</t>
  </si>
  <si>
    <t>Price</t>
  </si>
  <si>
    <t>Average of PRICE</t>
  </si>
  <si>
    <t>Jan</t>
  </si>
  <si>
    <t>Feb</t>
  </si>
  <si>
    <t>Mar</t>
  </si>
  <si>
    <t>Apr</t>
  </si>
  <si>
    <t>National Monthly Avergae Fuel Price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</si>
</sst>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_-[$₦-470]* #,##0_-;\-[$₦-470]* #,##0_-;_-[$₦-470]* &quot;-&quot;??_-;_-@_-"/>
    <numFmt numFmtId="166" formatCode="[$₦-470]#,##0"/>
    <numFmt numFmtId="167" formatCode="0&quot;%&quot;"/>
  </numFmts>
  <fonts count="3" x14ac:knownFonts="1">
    <font>
      <sz val="11"/>
      <color theme="1"/>
      <name val="Calibri"/>
      <family val="2"/>
      <scheme val="minor"/>
    </font>
    <font>
      <b/>
      <sz val="11"/>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9" tint="0.59999389629810485"/>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165" fontId="0" fillId="0" borderId="0" xfId="0" applyNumberFormat="1"/>
    <xf numFmtId="166" fontId="0" fillId="0" borderId="0" xfId="0" applyNumberFormat="1"/>
    <xf numFmtId="167" fontId="0" fillId="0" borderId="0" xfId="0" applyNumberFormat="1"/>
    <xf numFmtId="165" fontId="0" fillId="0" borderId="0" xfId="0" pivotButton="1" applyNumberFormat="1"/>
    <xf numFmtId="0" fontId="2" fillId="3" borderId="0" xfId="0" applyFont="1" applyFill="1"/>
  </cellXfs>
  <cellStyles count="1">
    <cellStyle name="Normal" xfId="0" builtinId="0"/>
  </cellStyles>
  <dxfs count="103">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165" formatCode="_-[$₦-470]* #,##0_-;\-[$₦-470]* #,##0_-;_-[$₦-470]* &quot;-&quot;??_-;_-@_-"/>
    </dxf>
    <dxf>
      <numFmt numFmtId="0" formatCode="General"/>
    </dxf>
    <dxf>
      <numFmt numFmtId="164" formatCode="&quot;₦&quot;#,##0"/>
    </dxf>
    <dxf>
      <numFmt numFmtId="168" formatCode="dd/mm/yyyy"/>
    </dxf>
    <dxf>
      <numFmt numFmtId="0" formatCode="General"/>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0" formatCode="General"/>
    </dxf>
    <dxf>
      <font>
        <b/>
        <color theme="1"/>
      </font>
      <border>
        <bottom style="thin">
          <color theme="9"/>
        </bottom>
        <vertical/>
        <horizontal/>
      </border>
    </dxf>
    <dxf>
      <font>
        <sz val="8"/>
        <color theme="1" tint="0.24994659260841701"/>
        <name val="Century Gothic"/>
        <family val="2"/>
        <scheme val="none"/>
      </font>
      <fill>
        <patternFill>
          <bgColor theme="9" tint="0.59996337778862885"/>
        </patternFill>
      </fill>
      <border diagonalUp="0" diagonalDown="0">
        <left/>
        <right/>
        <top/>
        <bottom/>
        <vertical/>
        <horizontal/>
      </border>
    </dxf>
    <dxf>
      <fill>
        <patternFill>
          <bgColor theme="9" tint="0.39994506668294322"/>
        </patternFill>
      </fill>
    </dxf>
    <dxf>
      <fill>
        <patternFill>
          <bgColor theme="9" tint="0.39994506668294322"/>
        </patternFill>
      </fill>
    </dxf>
    <dxf>
      <font>
        <b val="0"/>
        <i val="0"/>
        <sz val="8"/>
        <color theme="1" tint="0.24994659260841701"/>
        <name val="Century Gothic"/>
        <family val="2"/>
        <scheme val="none"/>
      </font>
      <border diagonalUp="0" diagonalDown="0">
        <left/>
        <right/>
        <top/>
        <bottom/>
        <vertical/>
        <horizontal/>
      </border>
    </dxf>
  </dxfs>
  <tableStyles count="4" defaultTableStyle="TableStyleMedium2" defaultPivotStyle="PivotStyleLight16">
    <tableStyle name="Month Timeline" pivot="0" table="0" count="8" xr9:uid="{5734CF1E-6C02-4C0B-9868-A332E75515B0}">
      <tableStyleElement type="wholeTable" dxfId="102"/>
    </tableStyle>
    <tableStyle name="Slicer Style 1" pivot="0" table="0" count="1" xr9:uid="{AD64D9DC-7F60-4937-8985-A3554E3BDB5D}">
      <tableStyleElement type="wholeTable" dxfId="101"/>
    </tableStyle>
    <tableStyle name="Slicer Style 2" pivot="0" table="0" count="6" xr9:uid="{E87D76D1-2CBB-48F3-9E57-AFB62E2E8AB8}">
      <tableStyleElement type="headerRow" dxfId="100"/>
    </tableStyle>
    <tableStyle name="Year" pivot="0" table="0" count="10" xr9:uid="{4A6170F3-88CA-4CA8-8ECF-C9BF1A4E5288}">
      <tableStyleElement type="wholeTable" dxfId="99"/>
      <tableStyleElement type="headerRow" dxfId="98"/>
    </tableStyle>
  </tableStyles>
  <extLst>
    <ext xmlns:x14="http://schemas.microsoft.com/office/spreadsheetml/2009/9/main" uri="{46F421CA-312F-682f-3DD2-61675219B42D}">
      <x14:dxfs count="1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9" tint="0.39994506668294322"/>
            </patternFill>
          </fill>
        </dxf>
        <dxf>
          <fill>
            <patternFill>
              <bgColor theme="9" tint="0.59996337778862885"/>
            </patternFill>
          </fill>
        </dxf>
        <dxf>
          <fill>
            <patternFill>
              <bgColor theme="9" tint="0.79998168889431442"/>
            </patternFill>
          </fill>
        </dxf>
        <dxf>
          <fill>
            <patternFill>
              <bgColor theme="9" tint="0.59996337778862885"/>
            </patternFill>
          </fill>
        </dxf>
        <dxf>
          <fill>
            <patternFill>
              <bgColor theme="9" tint="0.7999816888943144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2"/>
            <x14:slicerStyleElement type="selectedItemWithData" dxfId="11"/>
            <x14:slicerStyleElement type="selectedItemWithNoData" dxfId="10"/>
            <x14:slicerStyleElement type="hoveredUnselectedItemWithData" dxfId="9"/>
            <x14:slicerStyleElement type="hoveredSelectedItemWithData" dxfId="8"/>
          </x14:slicerStyleElements>
        </x14:slicerStyle>
        <x14:slicerStyle name="Yea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9" tint="0.39997558519241921"/>
              <bgColor theme="9"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9"/>
              </stop>
              <stop position="1">
                <color theme="9"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Month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externalLink" Target="externalLinks/externalLink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cap="rnd">
            <a:solidFill>
              <a:srgbClr val="385F7C"/>
            </a:solidFill>
            <a:prstDash val="sysDot"/>
            <a:round/>
          </a:ln>
          <a:effectLst/>
        </c:spPr>
        <c:marker>
          <c:symbol val="circle"/>
          <c:size val="5"/>
          <c:spPr>
            <a:solidFill>
              <a:srgbClr val="385F7C"/>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385F7C"/>
            </a:solidFill>
            <a:prstDash val="sysDot"/>
            <a:round/>
          </a:ln>
          <a:effectLst/>
        </c:spPr>
        <c:marker>
          <c:symbol val="circle"/>
          <c:size val="5"/>
          <c:spPr>
            <a:solidFill>
              <a:srgbClr val="385F7C"/>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rgbClr val="385F7C"/>
            </a:solidFill>
            <a:prstDash val="sysDot"/>
            <a:round/>
          </a:ln>
          <a:effectLst/>
        </c:spPr>
        <c:marker>
          <c:symbol val="circle"/>
          <c:size val="8"/>
          <c:spPr>
            <a:solidFill>
              <a:srgbClr val="385F7C"/>
            </a:solidFill>
            <a:ln w="9525">
              <a:noFill/>
            </a:ln>
            <a:effectLst/>
          </c:spPr>
        </c:marker>
      </c:pivotFmt>
      <c:pivotFmt>
        <c:idx val="3"/>
        <c:spPr>
          <a:solidFill>
            <a:schemeClr val="accent1"/>
          </a:solidFill>
          <a:ln w="19050" cap="rnd">
            <a:solidFill>
              <a:srgbClr val="385F7C"/>
            </a:solidFill>
            <a:prstDash val="sysDot"/>
            <a:round/>
          </a:ln>
          <a:effectLst/>
        </c:spPr>
        <c:marker>
          <c:symbol val="circle"/>
          <c:size val="8"/>
          <c:spPr>
            <a:solidFill>
              <a:srgbClr val="385F7C"/>
            </a:solidFill>
            <a:ln w="9525">
              <a:noFill/>
            </a:ln>
            <a:effectLst/>
          </c:spPr>
        </c:marker>
      </c:pivotFmt>
    </c:pivotFmts>
    <c:plotArea>
      <c:layout>
        <c:manualLayout>
          <c:layoutTarget val="inner"/>
          <c:xMode val="edge"/>
          <c:yMode val="edge"/>
          <c:x val="5.2186588158911709E-2"/>
          <c:y val="9.1023603423777591E-2"/>
          <c:w val="0.94781341184108825"/>
          <c:h val="0.78958406871923703"/>
        </c:manualLayout>
      </c:layout>
      <c:lineChart>
        <c:grouping val="standard"/>
        <c:varyColors val="0"/>
        <c:dLbls>
          <c:showLegendKey val="0"/>
          <c:showVal val="0"/>
          <c:showCatName val="0"/>
          <c:showSerName val="0"/>
          <c:showPercent val="0"/>
          <c:showBubbleSize val="0"/>
        </c:dLbls>
        <c:marker val="1"/>
        <c:smooth val="0"/>
        <c:axId val="1653085487"/>
        <c:axId val="1653085903"/>
      </c:lineChart>
      <c:catAx>
        <c:axId val="16530854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LID4096"/>
          </a:p>
        </c:txPr>
        <c:crossAx val="1653085903"/>
        <c:crosses val="autoZero"/>
        <c:auto val="1"/>
        <c:lblAlgn val="ctr"/>
        <c:lblOffset val="100"/>
        <c:noMultiLvlLbl val="0"/>
      </c:catAx>
      <c:valAx>
        <c:axId val="1653085903"/>
        <c:scaling>
          <c:orientation val="minMax"/>
        </c:scaling>
        <c:delete val="1"/>
        <c:axPos val="l"/>
        <c:numFmt formatCode="General" sourceLinked="1"/>
        <c:majorTickMark val="none"/>
        <c:minorTickMark val="none"/>
        <c:tickLblPos val="nextTo"/>
        <c:crossAx val="16530854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solidFill>
            <a:schemeClr val="tx1">
              <a:lumMod val="50000"/>
              <a:lumOff val="50000"/>
            </a:schemeClr>
          </a:solidFill>
        </a:defRPr>
      </a:pPr>
      <a:endParaRPr lang="LID4096"/>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r">
                  <a:defRPr sz="1050" b="1" i="0" u="none" strike="noStrike" kern="1200" baseline="0">
                    <a:solidFill>
                      <a:schemeClr val="tx1">
                        <a:lumMod val="95000"/>
                        <a:lumOff val="5000"/>
                      </a:schemeClr>
                    </a:solidFill>
                    <a:latin typeface="+mn-lt"/>
                    <a:ea typeface="+mn-ea"/>
                    <a:cs typeface="+mn-cs"/>
                  </a:defRPr>
                </a:pPr>
                <a:endParaRPr lang="LID4096"/>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Tables'!$F$5:$F$9</c:f>
              <c:strCache>
                <c:ptCount val="5"/>
                <c:pt idx="0">
                  <c:v>Cross River</c:v>
                </c:pt>
                <c:pt idx="1">
                  <c:v>Jigawa</c:v>
                </c:pt>
                <c:pt idx="2">
                  <c:v>Kaduna</c:v>
                </c:pt>
                <c:pt idx="3">
                  <c:v>Kano</c:v>
                </c:pt>
                <c:pt idx="4">
                  <c:v>Katsina</c:v>
                </c:pt>
              </c:strCache>
            </c:strRef>
          </c:cat>
          <c:val>
            <c:numRef>
              <c:f>'Pivot Tables'!$I$5:$I$9</c:f>
              <c:numCache>
                <c:formatCode>_-[$₦-470]* #,##0_-;\-[$₦-470]* #,##0_-;_-[$₦-470]* "-"??_-;_-@_-</c:formatCode>
                <c:ptCount val="5"/>
                <c:pt idx="0">
                  <c:v>1483.3333</c:v>
                </c:pt>
                <c:pt idx="1">
                  <c:v>1530</c:v>
                </c:pt>
                <c:pt idx="2">
                  <c:v>1638.3333</c:v>
                </c:pt>
                <c:pt idx="3">
                  <c:v>1541.6667</c:v>
                </c:pt>
                <c:pt idx="4">
                  <c:v>1469.4444000000001</c:v>
                </c:pt>
              </c:numCache>
            </c:numRef>
          </c:val>
          <c:extLst>
            <c:ext xmlns:c16="http://schemas.microsoft.com/office/drawing/2014/chart" uri="{C3380CC4-5D6E-409C-BE32-E72D297353CC}">
              <c16:uniqueId val="{00000000-4EEE-4030-97B0-B2F87BCE914B}"/>
            </c:ext>
          </c:extLst>
        </c:ser>
        <c:ser>
          <c:idx val="1"/>
          <c:order val="1"/>
          <c:spPr>
            <a:solidFill>
              <a:schemeClr val="accent6">
                <a:lumMod val="75000"/>
                <a:alpha val="92000"/>
              </a:schemeClr>
            </a:solidFill>
            <a:ln>
              <a:noFill/>
            </a:ln>
            <a:effectLst/>
          </c:spPr>
          <c:invertIfNegative val="0"/>
          <c:dLbls>
            <c:delete val="1"/>
          </c:dLbls>
          <c:cat>
            <c:strRef>
              <c:f>'Pivot Tables'!$F$5:$F$9</c:f>
              <c:strCache>
                <c:ptCount val="5"/>
                <c:pt idx="0">
                  <c:v>Cross River</c:v>
                </c:pt>
                <c:pt idx="1">
                  <c:v>Jigawa</c:v>
                </c:pt>
                <c:pt idx="2">
                  <c:v>Kaduna</c:v>
                </c:pt>
                <c:pt idx="3">
                  <c:v>Kano</c:v>
                </c:pt>
                <c:pt idx="4">
                  <c:v>Katsina</c:v>
                </c:pt>
              </c:strCache>
            </c:strRef>
          </c:cat>
          <c:val>
            <c:numRef>
              <c:f>'Pivot Tables'!$J$5:$J$9</c:f>
              <c:numCache>
                <c:formatCode>_-[$₦-470]* #,##0_-;\-[$₦-470]* #,##0_-;_-[$₦-470]* "-"??_-;_-@_-</c:formatCode>
                <c:ptCount val="5"/>
                <c:pt idx="0">
                  <c:v>482.66665999999987</c:v>
                </c:pt>
                <c:pt idx="1">
                  <c:v>435.99995999999987</c:v>
                </c:pt>
                <c:pt idx="2">
                  <c:v>327.66665999999987</c:v>
                </c:pt>
                <c:pt idx="3">
                  <c:v>424.33325999999988</c:v>
                </c:pt>
                <c:pt idx="4">
                  <c:v>496.55555999999979</c:v>
                </c:pt>
              </c:numCache>
            </c:numRef>
          </c:val>
          <c:extLst>
            <c:ext xmlns:c16="http://schemas.microsoft.com/office/drawing/2014/chart" uri="{C3380CC4-5D6E-409C-BE32-E72D297353CC}">
              <c16:uniqueId val="{00000001-4EEE-4030-97B0-B2F87BCE914B}"/>
            </c:ext>
          </c:extLst>
        </c:ser>
        <c:ser>
          <c:idx val="2"/>
          <c:order val="2"/>
          <c:tx>
            <c:strRef>
              <c:f>'Pivot Tables'!$F$5:$F$9</c:f>
              <c:strCache>
                <c:ptCount val="5"/>
                <c:pt idx="0">
                  <c:v>Cross River</c:v>
                </c:pt>
                <c:pt idx="1">
                  <c:v>Jigawa</c:v>
                </c:pt>
                <c:pt idx="2">
                  <c:v>Kaduna</c:v>
                </c:pt>
                <c:pt idx="3">
                  <c:v>Kano</c:v>
                </c:pt>
                <c:pt idx="4">
                  <c:v>Katsina</c:v>
                </c:pt>
              </c:strCache>
            </c:strRef>
          </c:tx>
          <c:spPr>
            <a:solidFill>
              <a:schemeClr val="accent3"/>
            </a:solidFill>
            <a:ln>
              <a:noFill/>
            </a:ln>
            <a:effectLst/>
          </c:spPr>
          <c:invertIfNegative val="0"/>
          <c:dLbls>
            <c:delete val="1"/>
          </c:dLbls>
          <c:cat>
            <c:strRef>
              <c:f>'Pivot Tables'!$F$5:$F$9</c:f>
              <c:strCache>
                <c:ptCount val="5"/>
                <c:pt idx="0">
                  <c:v>Cross River</c:v>
                </c:pt>
                <c:pt idx="1">
                  <c:v>Jigawa</c:v>
                </c:pt>
                <c:pt idx="2">
                  <c:v>Kaduna</c:v>
                </c:pt>
                <c:pt idx="3">
                  <c:v>Kano</c:v>
                </c:pt>
                <c:pt idx="4">
                  <c:v>Katsina</c:v>
                </c:pt>
              </c:strCache>
            </c:strRef>
          </c:cat>
          <c:val>
            <c:numLit>
              <c:formatCode>General</c:formatCode>
              <c:ptCount val="1"/>
              <c:pt idx="0">
                <c:v>1</c:v>
              </c:pt>
            </c:numLit>
          </c:val>
          <c:extLst>
            <c:ext xmlns:c16="http://schemas.microsoft.com/office/drawing/2014/chart" uri="{C3380CC4-5D6E-409C-BE32-E72D297353CC}">
              <c16:uniqueId val="{00000002-4EEE-4030-97B0-B2F87BCE914B}"/>
            </c:ext>
          </c:extLst>
        </c:ser>
        <c:dLbls>
          <c:dLblPos val="ctr"/>
          <c:showLegendKey val="0"/>
          <c:showVal val="1"/>
          <c:showCatName val="0"/>
          <c:showSerName val="0"/>
          <c:showPercent val="0"/>
          <c:showBubbleSize val="0"/>
        </c:dLbls>
        <c:gapWidth val="150"/>
        <c:overlap val="100"/>
        <c:axId val="1120124543"/>
        <c:axId val="1114915055"/>
      </c:barChart>
      <c:catAx>
        <c:axId val="112012454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LID4096"/>
          </a:p>
        </c:txPr>
        <c:crossAx val="1114915055"/>
        <c:crosses val="autoZero"/>
        <c:auto val="1"/>
        <c:lblAlgn val="ctr"/>
        <c:lblOffset val="100"/>
        <c:noMultiLvlLbl val="0"/>
      </c:catAx>
      <c:valAx>
        <c:axId val="1114915055"/>
        <c:scaling>
          <c:orientation val="minMax"/>
        </c:scaling>
        <c:delete val="1"/>
        <c:axPos val="b"/>
        <c:numFmt formatCode="0%" sourceLinked="1"/>
        <c:majorTickMark val="none"/>
        <c:minorTickMark val="none"/>
        <c:tickLblPos val="nextTo"/>
        <c:crossAx val="112012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barChart>
        <c:barDir val="bar"/>
        <c:grouping val="stacked"/>
        <c:varyColors val="0"/>
        <c:ser>
          <c:idx val="0"/>
          <c:order val="0"/>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LID4096"/>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Tables'!$N$5:$N$9</c:f>
              <c:strCache>
                <c:ptCount val="5"/>
                <c:pt idx="0">
                  <c:v>Anambra</c:v>
                </c:pt>
                <c:pt idx="1">
                  <c:v>Bayelsa</c:v>
                </c:pt>
                <c:pt idx="2">
                  <c:v>Borno</c:v>
                </c:pt>
                <c:pt idx="3">
                  <c:v>Osun</c:v>
                </c:pt>
                <c:pt idx="4">
                  <c:v>Oyo</c:v>
                </c:pt>
              </c:strCache>
            </c:strRef>
          </c:cat>
          <c:val>
            <c:numRef>
              <c:f>'Pivot Tables'!$O$5:$O$9</c:f>
              <c:numCache>
                <c:formatCode>_-[$₦-470]* #,##0_-;\-[$₦-470]* #,##0_-;_-[$₦-470]* "-"??_-;_-@_-</c:formatCode>
                <c:ptCount val="5"/>
                <c:pt idx="0">
                  <c:v>1080</c:v>
                </c:pt>
                <c:pt idx="1">
                  <c:v>1000</c:v>
                </c:pt>
                <c:pt idx="2">
                  <c:v>1066.6667</c:v>
                </c:pt>
                <c:pt idx="3">
                  <c:v>950</c:v>
                </c:pt>
                <c:pt idx="4">
                  <c:v>1015</c:v>
                </c:pt>
              </c:numCache>
            </c:numRef>
          </c:val>
          <c:extLst>
            <c:ext xmlns:c16="http://schemas.microsoft.com/office/drawing/2014/chart" uri="{C3380CC4-5D6E-409C-BE32-E72D297353CC}">
              <c16:uniqueId val="{00000000-2874-4B41-81EC-FD1E56BF6A5A}"/>
            </c:ext>
          </c:extLst>
        </c:ser>
        <c:ser>
          <c:idx val="1"/>
          <c:order val="1"/>
          <c:spPr>
            <a:solidFill>
              <a:schemeClr val="accent6">
                <a:lumMod val="75000"/>
              </a:schemeClr>
            </a:solidFill>
            <a:ln>
              <a:noFill/>
            </a:ln>
            <a:effectLst/>
          </c:spPr>
          <c:invertIfNegative val="0"/>
          <c:cat>
            <c:strRef>
              <c:f>'Pivot Tables'!$N$5:$N$9</c:f>
              <c:strCache>
                <c:ptCount val="5"/>
                <c:pt idx="0">
                  <c:v>Anambra</c:v>
                </c:pt>
                <c:pt idx="1">
                  <c:v>Bayelsa</c:v>
                </c:pt>
                <c:pt idx="2">
                  <c:v>Borno</c:v>
                </c:pt>
                <c:pt idx="3">
                  <c:v>Osun</c:v>
                </c:pt>
                <c:pt idx="4">
                  <c:v>Oyo</c:v>
                </c:pt>
              </c:strCache>
            </c:strRef>
          </c:cat>
          <c:val>
            <c:numRef>
              <c:f>'Pivot Tables'!$P$5:$P$9</c:f>
              <c:numCache>
                <c:formatCode>_-[$₦-470]* #,##0_-;\-[$₦-470]* #,##0_-;_-[$₦-470]* "-"??_-;_-@_-</c:formatCode>
                <c:ptCount val="5"/>
                <c:pt idx="0">
                  <c:v>216</c:v>
                </c:pt>
                <c:pt idx="1">
                  <c:v>296</c:v>
                </c:pt>
                <c:pt idx="2">
                  <c:v>229.33330000000001</c:v>
                </c:pt>
                <c:pt idx="3">
                  <c:v>346</c:v>
                </c:pt>
                <c:pt idx="4">
                  <c:v>281</c:v>
                </c:pt>
              </c:numCache>
            </c:numRef>
          </c:val>
          <c:extLst>
            <c:ext xmlns:c16="http://schemas.microsoft.com/office/drawing/2014/chart" uri="{C3380CC4-5D6E-409C-BE32-E72D297353CC}">
              <c16:uniqueId val="{00000001-2874-4B41-81EC-FD1E56BF6A5A}"/>
            </c:ext>
          </c:extLst>
        </c:ser>
        <c:dLbls>
          <c:showLegendKey val="0"/>
          <c:showVal val="0"/>
          <c:showCatName val="0"/>
          <c:showSerName val="0"/>
          <c:showPercent val="0"/>
          <c:showBubbleSize val="0"/>
        </c:dLbls>
        <c:gapWidth val="150"/>
        <c:overlap val="100"/>
        <c:axId val="894797375"/>
        <c:axId val="2786576"/>
      </c:barChart>
      <c:catAx>
        <c:axId val="89479737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entury Gothic" panose="020B0502020202020204" pitchFamily="34" charset="0"/>
                <a:ea typeface="+mn-ea"/>
                <a:cs typeface="+mn-cs"/>
              </a:defRPr>
            </a:pPr>
            <a:endParaRPr lang="LID4096"/>
          </a:p>
        </c:txPr>
        <c:crossAx val="2786576"/>
        <c:crosses val="autoZero"/>
        <c:auto val="1"/>
        <c:lblAlgn val="ctr"/>
        <c:lblOffset val="100"/>
        <c:noMultiLvlLbl val="0"/>
      </c:catAx>
      <c:valAx>
        <c:axId val="2786576"/>
        <c:scaling>
          <c:orientation val="minMax"/>
        </c:scaling>
        <c:delete val="1"/>
        <c:axPos val="b"/>
        <c:numFmt formatCode="_-[$₦-470]* #,##0_-;\-[$₦-470]* #,##0_-;_-[$₦-470]* &quot;-&quot;??_-;_-@_-" sourceLinked="1"/>
        <c:majorTickMark val="none"/>
        <c:minorTickMark val="none"/>
        <c:tickLblPos val="nextTo"/>
        <c:crossAx val="89479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[Fuel Price Project.xlsx]Pivot Tables!Average Price Trend</c:name>
    <c:fmtId val="16"/>
  </c:pivotSource>
  <c:chart>
    <c:autoTitleDeleted val="1"/>
    <c:pivotFmts>
      <c:pivotFmt>
        <c:idx val="0"/>
        <c:spPr>
          <a:solidFill>
            <a:schemeClr val="accent1"/>
          </a:solidFill>
          <a:ln w="28575" cap="rnd">
            <a:solidFill>
              <a:schemeClr val="accent6">
                <a:lumMod val="60000"/>
                <a:lumOff val="40000"/>
              </a:schemeClr>
            </a:solidFill>
            <a:prstDash val="sysDash"/>
            <a:round/>
          </a:ln>
          <a:effectLst/>
        </c:spPr>
        <c:marker>
          <c:symbol val="circle"/>
          <c:size val="5"/>
          <c:spPr>
            <a:solidFill>
              <a:schemeClr val="accent1"/>
            </a:solidFill>
            <a:ln w="9525">
              <a:solidFill>
                <a:schemeClr val="accent6">
                  <a:lumMod val="75000"/>
                </a:schemeClr>
              </a:solidFill>
            </a:ln>
            <a:effectLst/>
          </c:spPr>
        </c:marker>
      </c:pivotFmt>
      <c:pivotFmt>
        <c:idx val="1"/>
        <c:spPr>
          <a:solidFill>
            <a:schemeClr val="accent1"/>
          </a:solidFill>
          <a:ln w="28575" cap="rnd">
            <a:solidFill>
              <a:schemeClr val="accent6">
                <a:lumMod val="60000"/>
                <a:lumOff val="40000"/>
              </a:schemeClr>
            </a:solidFill>
            <a:prstDash val="sysDash"/>
            <a:round/>
          </a:ln>
          <a:effectLst/>
        </c:spPr>
        <c:marker>
          <c:symbol val="circle"/>
          <c:size val="5"/>
          <c:spPr>
            <a:solidFill>
              <a:schemeClr val="accent1"/>
            </a:solidFill>
            <a:ln w="9525">
              <a:solidFill>
                <a:schemeClr val="accent6">
                  <a:lumMod val="75000"/>
                </a:schemeClr>
              </a:solidFill>
            </a:ln>
            <a:effectLst/>
          </c:spPr>
        </c:marker>
      </c:pivotFmt>
      <c:pivotFmt>
        <c:idx val="2"/>
        <c:spPr>
          <a:ln w="22225" cap="rnd">
            <a:solidFill>
              <a:schemeClr val="accent6">
                <a:lumMod val="60000"/>
                <a:lumOff val="40000"/>
              </a:schemeClr>
            </a:solidFill>
            <a:prstDash val="sysDash"/>
            <a:round/>
          </a:ln>
          <a:effectLst/>
        </c:spPr>
        <c:marker>
          <c:symbol val="circle"/>
          <c:size val="5"/>
          <c:spPr>
            <a:solidFill>
              <a:schemeClr val="accent6">
                <a:lumMod val="75000"/>
              </a:schemeClr>
            </a:solidFill>
            <a:ln w="2857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033285917496455E-3"/>
          <c:y val="0.23479923122440588"/>
          <c:w val="0.97646497866287341"/>
          <c:h val="0.65648938982435379"/>
        </c:manualLayout>
      </c:layout>
      <c:lineChart>
        <c:grouping val="standard"/>
        <c:varyColors val="0"/>
        <c:ser>
          <c:idx val="0"/>
          <c:order val="0"/>
          <c:tx>
            <c:strRef>
              <c:f>'Pivot Tables'!$G$23</c:f>
              <c:strCache>
                <c:ptCount val="1"/>
                <c:pt idx="0">
                  <c:v>Total</c:v>
                </c:pt>
              </c:strCache>
            </c:strRef>
          </c:tx>
          <c:spPr>
            <a:ln w="22225" cap="rnd">
              <a:solidFill>
                <a:schemeClr val="accent6">
                  <a:lumMod val="60000"/>
                  <a:lumOff val="40000"/>
                </a:schemeClr>
              </a:solidFill>
              <a:prstDash val="sysDash"/>
              <a:round/>
            </a:ln>
            <a:effectLst/>
          </c:spPr>
          <c:marker>
            <c:symbol val="circle"/>
            <c:size val="5"/>
            <c:spPr>
              <a:solidFill>
                <a:schemeClr val="accent6">
                  <a:lumMod val="75000"/>
                </a:schemeClr>
              </a:solidFill>
              <a:ln w="28575">
                <a:solidFill>
                  <a:schemeClr val="accent6">
                    <a:lumMod val="75000"/>
                  </a:schemeClr>
                </a:solidFill>
              </a:ln>
              <a:effectLst/>
            </c:spPr>
          </c:marker>
          <c:cat>
            <c:strRef>
              <c:f>'Pivot Tables'!$F$24:$F$27</c:f>
              <c:strCache>
                <c:ptCount val="4"/>
                <c:pt idx="0">
                  <c:v>Jan</c:v>
                </c:pt>
                <c:pt idx="1">
                  <c:v>Feb</c:v>
                </c:pt>
                <c:pt idx="2">
                  <c:v>Mar</c:v>
                </c:pt>
                <c:pt idx="3">
                  <c:v>Apr</c:v>
                </c:pt>
              </c:strCache>
            </c:strRef>
          </c:cat>
          <c:val>
            <c:numRef>
              <c:f>'Pivot Tables'!$G$24:$G$27</c:f>
              <c:numCache>
                <c:formatCode>_-[$₦-470]* #,##0_-;\-[$₦-470]* #,##0_-;_-[$₦-470]* "-"??_-;_-@_-</c:formatCode>
                <c:ptCount val="4"/>
                <c:pt idx="0">
                  <c:v>1258.3446105263156</c:v>
                </c:pt>
                <c:pt idx="1">
                  <c:v>1245.8011368421053</c:v>
                </c:pt>
                <c:pt idx="2">
                  <c:v>1261.6457684210525</c:v>
                </c:pt>
                <c:pt idx="3">
                  <c:v>1239.3271131578947</c:v>
                </c:pt>
              </c:numCache>
            </c:numRef>
          </c:val>
          <c:smooth val="1"/>
          <c:extLst>
            <c:ext xmlns:c16="http://schemas.microsoft.com/office/drawing/2014/chart" uri="{C3380CC4-5D6E-409C-BE32-E72D297353CC}">
              <c16:uniqueId val="{00000000-CFB4-4F80-B233-A368911B0BCD}"/>
            </c:ext>
          </c:extLst>
        </c:ser>
        <c:dLbls>
          <c:showLegendKey val="0"/>
          <c:showVal val="0"/>
          <c:showCatName val="0"/>
          <c:showSerName val="0"/>
          <c:showPercent val="0"/>
          <c:showBubbleSize val="0"/>
        </c:dLbls>
        <c:marker val="1"/>
        <c:smooth val="0"/>
        <c:axId val="997020831"/>
        <c:axId val="1155710559"/>
      </c:lineChart>
      <c:catAx>
        <c:axId val="99702083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ln>
                  <a:noFill/>
                </a:ln>
                <a:solidFill>
                  <a:schemeClr val="tx1">
                    <a:lumMod val="75000"/>
                    <a:lumOff val="25000"/>
                  </a:schemeClr>
                </a:solidFill>
                <a:latin typeface="+mn-lt"/>
                <a:ea typeface="+mn-ea"/>
                <a:cs typeface="+mn-cs"/>
              </a:defRPr>
            </a:pPr>
            <a:endParaRPr lang="LID4096"/>
          </a:p>
        </c:txPr>
        <c:crossAx val="1155710559"/>
        <c:crosses val="autoZero"/>
        <c:auto val="1"/>
        <c:lblAlgn val="ctr"/>
        <c:lblOffset val="100"/>
        <c:noMultiLvlLbl val="0"/>
      </c:catAx>
      <c:valAx>
        <c:axId val="1155710559"/>
        <c:scaling>
          <c:orientation val="minMax"/>
        </c:scaling>
        <c:delete val="1"/>
        <c:axPos val="l"/>
        <c:numFmt formatCode="_-[$₦-470]* #,##0_-;\-[$₦-470]* #,##0_-;_-[$₦-470]* &quot;-&quot;??_-;_-@_-" sourceLinked="1"/>
        <c:majorTickMark val="out"/>
        <c:minorTickMark val="none"/>
        <c:tickLblPos val="nextTo"/>
        <c:crossAx val="99702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A2C1A847-86C0-4613-9551-E2936E16D490}" formatIdx="0">
          <cx:dataId val="0"/>
          <cx:layoutPr>
            <cx:regionLabelLayout val="none"/>
            <cx:geography cultureLanguage="en-US" cultureRegion="NG" attribution="Powered by Bing">
              <cx:geoCache provider="{E9337A44-BEBE-4D9F-B70C-5C5E7DAFC167}">
                <cx:binary>3Hxpcxs3Fu1fSeXzawU70FOTqRp0k9ol77b8pUuW5G70hl6A3n79u7Qkm2ScZKJx6o0eU+VIAkFe
4m7nnnvBf95M/7gp7667n6aqrPt/3Ey//pw51/zjl1/6m+yuuu4PKnPT2d5+dgc3tvrFfv5sbu5+
ue2uR1OnvxCE2S832XXn7qaf//VPeLX0zp7Zm2tnbP3S33Xzq7vel67/g7XvLv10fVuZOja968yN
w7/+/O9P5vrnn+5qZ9z8Zm7ufv155xk///TL/uv85j1/KkEs529hLz9gnKGQU4HuH+Tnn0pbpw/L
8oBjTpEI+cMyfXzri+sKtm+E+em1u3Z3j3//nkhfBLq+ve3u+h4+z5f/7+7d+Qi7SzfW125zfCmc
5K8/X5j0rtucgOltdL8U2c0nuTj88tF/2T36f/1z7w9wGHt/2dLO/sn92dJvlKOv57uy/4H6YQdS
kFAqzsL7h9zRjzhARKlQykf1sUc93OvnQZ6nqmhv+56W9laflaL+XV9Xn7ofqChxQLCimAr1oCix
pyjwMawYpg+OtKeoB3meqqi97XuK2lt9VorSd7X/w+CyiXd/q0f7m8w8etX3ottfC7gYHQhCFFFM
3VsC3rETWAaPlpITCMT3Qf7RkzdyPNU+9PX27j3z2F18VtbxAjLZ3bV/PKr/Xj3hAeKKMqbYg5/u
5sPwQCgiiBJ7efBBjqeqZ2/7nn72Vv9bBe0myJ++YQF5gBEiAhH+EMLUjmmSAwFIATO2F7oexYvv
GoA/FRjtH6nj+1jge6/xO6ew/TZ7RwGxwtS/RQb65H8BGdiutn90MH8xjJADrCSn4V74oAcUQWCh
jDzo8PEtH6LIRoqnWqne3rynnZ21PbX8b0O2f3/y+Z/igL8xwfz79rq6Hv9Ugl2v/SNIHwJmB8go
H704hFi1BekxOaBKYaXo4xN2TeRBnqcayd72PTPZW31ehlKM1z8df7LV43n999mGHYQMQTIREHi/
PHa9WR4AYCREcPktIG9jgn8/SvRkZe2/wL669teflcIiKNf7n16Z4a77cSrjB0pIHAq+i+/VASeI
SUnCB03yx7e8D7xbsjxVWd95iT11fecZz0ph8V3pfmAg5KATCeQF2nKfrUAoDrAE/xLwlPvHHq75
Is1TlbWzeU9NO2vPSkGrT7ae/7QY+huT5er2B2IocQCmAcH1K1ba5Vb4QSgJkQB4H+wDgvN29AVZ
nmodW1v3bGNr5XlZRmHcnxrGf45h5IHcMCngud98c8t1+QE4tqLkoYRGaF81G2merJztzfvq2V57
Vgo6temP1U/IQiAdyXf1A56l4D8hIUluu8xGiKeqZXvvnla2l56VUla1T/+UvPgbw+nH6+rz9Y9k
QaG4QF+clkAy3XJYccAwUAcUPwDZEELttmE8CPJU29jbvmcee6vPykIObfXp/yX9eVz9acL9G+3z
9Nr1pv6BkBDskwtgSIj8ltO3zFQCN4vkFmLcM9MHeZ5qpnvb98x0b/VZmemJSf8DDuNvtZRb/0MN
BQFLQjgleJcAhpKcU0oIR4+RbDeQnV5v5Hi6gWzv/o19bC8+K/M4vf6h3Cc+UCFTNCThTpKBGpwK
6LDhxxbcHkm/keLpmvm29zd6+bb0vLRy9+nTD8SEGEOSF5JL/t3OFoPugoRhg0dieh8CnG6kebJ6
tjfv62d77XkpaPyh4EwdKCqkCoEdvn/s1rvsQAgFbUm+RUZuY7TTjTRPVtD25n0Fba89KwWdXae2
f0wA/z0dLICwEiGi+HHYYze+0QMuJZAR7HEZ+nPbCvoizVMVtLN5T0E7a89KQRfXfQ9W++ftlb8R
mnxpfz1q6r83kvAgpNCkVbv8Mz8QHGOkJP3m29u28UWIp9rGzuY929hZe1a2cZl6aBbfH9J/rxYB
bKFS0Kl5BB+7zXN6wKgCwEIfCZO98Y6NME9Vz/bePe1sLz0v5dQ/kumVMFSDQqHYo3fsBlYOQx9C
Mhk+Zr494HgJwjxZOVt795WztfS8lNP/SM+BGdPNuA37Ojm3qxx2wMCzoGYXD5Ftj1O8BGGerJyt
vfvK2Vp6XsqZ/5Sx+c95eAVTjTBNwNF+NOOCERWqPd79cn66n3zbuq+JbyvPShFfGs8/EB2yzTQA
TGd9bXrsU6xKIJgmkI/rexnmXpynesru7j0N7S4+KyW9toV1P9BhMD1AAmO8aV3dP3YoCn5AMYx2
oq+zN3vB7F6cpyppd/eeknYXn5WS3gCE//QDWWB1ALc1MIUxzwcd7XJ8MIMrqRSUygc8sBfl7sV5
qpJ2d+8paXfxWSnpyv55o+I/TzxA1GMCRCsgtnumHnSwRdQD18SR4CHdI+j/TIjvT5/e79pTxf0f
/6dV8HvCbdc0O8/5i5eDYNoZDp8CNn7olsBQ05YS5MHGfSTMoT4s7w3QfCkN9y8r7crzfX183bjz
5L/97s/vcwBfxy3ja3e9+nL1autq0B+vPt4p2tv6R4Xnvf6Ob3/9GQsMtwXACbY0t3mhHd4HenS7
wWhv59117379WUIFChcPNk17KgnFDJQ53m1WoFsPXgawgcE1IpiGwfBute1ctrkeFkLZCgNSlAkK
7O2mG9Jbf7+EQ8bhXhiFUQyGwFe/3nt7Ycs5tfXXc3n4/afaVy+sqV0PH4yD5zb3z9uIC4NzcMcM
6AtJOLg15E/IjM3N9Su4XLd5+v/xExLGKB4tVUiiumuyFePhuM6yQWnShPQixGlzzkbTH1k04FwX
QzedMESyDzRpeJSMC9K+TsjrVCK3not0lePilPRjkmobovI4CU0bD2xsoiFg3dplpjgZfO1fwMer
Dwvsr4e8rj+gcWAnaWWHtSK5XHVBlxzlhLYrWogri4XTdCbdUcXD5n0gQxF3Q4BPhazJWztk3VqN
9B32dInCrGo1LVAVjYnvjoapCKcIlWWElElByk5ddSzjp5668HyxXaZpkzS6o/Mlq5ZWZ12WntRl
kpw1aWZXQz03ge5sS45c1gSnQvWtVkHRrwKM85Xs6HJUq0YeN4nAp3JkKFI5Kq4EnrNPqeef20xW
l2k1Z1izILNrjK16PaRquWC9zQ6lSsZK8zb0hcYM9adNTWsRzX3WnaTEzFHQNm9Tk+SltqOl2grW
6EXkWcQnXBndNuJNTsJJJzR/ibImi6gfgxdd6YqTBNXhW9MmwXqpk+aO5zLwMa74dErCw25uPk5o
6PsjTophvsgtzddlq+bLsO3kRy48OWlGZrXhfXYxl76M8xG7eKimRPslZGelpcXbalH0rJF2umHK
hO9F2w6Hoauv2i4v4ykLFqH7DDVeC5lPUTDmdVwjVt2kSjA9wO+rns/LCcwluZclSf0NmmW9Zk3Q
rJeCu3Ui6/YwmxrdVuPFrMi0HrlqorDP3yvS+0MUJvOdIzWedZuFUd+ZC4QSoye1RHZsz4olXQ+k
rnVeBf2q40N2Uss01CxzecQLvs5J06wUKcbT7fsMO852Y5u5M2n2cM/066//umzu6teuu7tz59fN
l/tS39Z2fwWvfQiEm0Cz88tvIt/vxLb7q66/s7gT+HYC/CMZ9yV8SQhPX2+y/ibkfc0QW6Fys+M+
1GFoZUiJIY4gCF8SWvqPoQ7usGy4hDDEcgP+vsSzh1AHyB34O4iEm9gDIY1AyfsQ6hiMm0HdBdQe
UESQ7SAKPn64ndOHK7/fCXUQwHdDHUUQiKETBt0W6LVIqTahcCvUybInLPeJLofcNNPhjCbwKUos
Co+XEs3qopFpDYYzmCI79046F1NXdv1xnk6qiLpGgF9ORHRvpK9NHzfFmI6XoeVZqgNuWmJ06luk
ThqH6xwsjBBSWthRIBrjvlkysGEUmHVBZJcfyZnlPGpQbsU5q/sRRRDdA6s7gzzXlQtmDM4OSSEa
plzmegqwrbWAFDPpvrSF074v6DnjWfBxCYzguvUjKjXncj5nfZh+LHJD84hWZB6iWlQNvF7FklGz
sTClLlQqmyMWuKzSrBirJcoTkpuIjnnYxbOYHMTCXI5OO5O1dE0HYcVKINNYiEmFmI9YzcoPoSzI
BcuYxSuXlullt7jwOsOKf7CpU7dNQsIu6mfuDUTWfij07D0WHxJwuOp9ilvHdc7GqTqfSRlWJ+NQ
lIOuLUlk7Dli6piV9Wxf0yUXLl6aZSSrQi5hH8lGqmWFhizJdM69emdtT/FrbjO/nPO882ehSNQE
OgzKptam98tJ2SZtf9n3CeQlknvldCMIZCtBJ6dtP04f6jRRft2GKht7PUx18s5m+cDWYxhk1VGf
ZB3VqWhzumpN337q5tpivbRK3mSiTrIIkZm9GyvurpBxAV/hsnCHXrVNG2VNrW76xNoOAqkZ+8MO
AtwYIVxZpmvFK6SVSrvTnPNg1Fj4ma+7XMg5KpjpS41mMUgN2Z7KaMIg1iHvxTTorvX9kbNBcJsN
gRn1NBpzipM+exU403+GSdu3zqRNobMeIxKVTjWNLnNlXvvR1gYOqGjXZYknGgVL1wVaLIS+J3Yq
sC4YqmYtZ85feTbkRA+5R2lksnJp9FCKMNAJGXui3VRNH6YapoCiqfX1DXGB6SJFHa4gW/HlZVsK
DrJhbKo1oVbVuqyHpYgAI3V3GamSG8iD9aWkDH8yaMnLdZ/aadRetvUQiyHhBfxrxo8KPL/VyCPS
HSYo8Y02c0it9lO9XLOAN5cD5T7VbdtNC8AVq1yMuoSHWmWtXXRGTG5PiOtorw0i1kQp7+moUTLO
SBOz4OVDWaTJTTViJg+bypL6lCufNmC6VdO/rlPCslgCrjF6cKR4gXNOXiVzU5zhYHFJnHUFuoU8
SJZ1asRU6X7I1Yecp+KlEy78YKUsaz00WJpjW1Jnj7OxrC7b0qJCVyVJGLiczCHJOZXekX5GqeZd
qxAsjguJekjSABmoHdMomaby7ZilWQihLFv829yW6ZXPN/oJy9wwPTusUCzmEULfZEqCdSkmW+qM
qhaCFE7b81Dl1VtE4N1Wicznd8s80uxyqPpOgB0KX7zqJtYlMUWBKOJELekRI1k7Hgq4ReNWaSem
csXzsZsj31qWxjQoK3CoVnRI14aVRodJlfa68DIkOgg9bWJW46qKmyHP0BrgaOZ1aovNpwtNYOOA
2aGFzzuY8z4glGmAgCEgpEU1Saw6moj1LIPhKkDSXlWsJV6PY9AMOmhJOsZuMnTRpVdzDv+mbgL4
0YvLsq/HT71y3WkzpUup05DXThdzMzVxLxh9BQY74dWcVGWoU8aycWXmVpSx4SFBcQMOV2tKFzdG
CfO0jmah8nElZdNkl0mGsuOu8MWiFyLTV6atBqenZPHrmrQQk1sGKlBzGVS6Stu+Ok8WUdtTV5V5
pds5T/2KQQ7yulh4Xq1VUrlwJZKq/mhUC0bhTTrVkWtD+apPgmTRvBGZiEsH+Q7MejJXxiDjo66v
kYpDcLU3jAnX6yWh9iSpCO5XRap4HqWsSZyGaIqQhpzhOz23hCvtgsql4KRl0MZlak2vbU6qd6bP
kjqWDnGsW/hnjtCEmnfE2DCIOl+A8Q0G1VlU1hW/ylxWpFFpExN3Il+yVYubrNEYuuy3U2hQqyHX
51eKJwLVx2zs+Ti+S0QFDq1F1uHb0VX1hV8WU2iCF3nM+6IaDhNDis/5RMoLPgn+lgRmuSo96W6y
AGJhNFsrbnHvg0TPFqF3k83DWdO+s59ZyrPDaZH2tMTL8tFg4s/DBLdWZ4mloW7avLNx25amiExr
8avZLfi94Hma6UraItQj7P6QtHS0moVkeVWYYPlcBG44wRLCQNQZ5g7HMl98lA0yvGSkMrPOYYKe
66EjbaZRm9lBu2zAx9xLsBk/FgJCIziN0YkfBwqOMog3RRqgIiq6RA66TJhr1yxPGx+zqYMyYeAF
Os/KNrvpp6BQemobyiJelrN6mdIFl1FvgGG76OE7VtIoSNU4F3rK6yqE4qMYDL0uQuQy2Lg47E9H
klbTi2WBiqDRRIxenaUhHoozkQZDDpllWpL6jSiNK+JR5QxsoJBTcuSLoEOjDtMK4eM54CV62c2t
wpFkXVnFcP0jrONC0OZc2VaVp7XLRKflkuMbqdJxvMXznLZntkzKIIYIXEFkKkNv4nksErrZOS9R
OWf0U1oG+RhRNFd9AqGIJS5uvUmSeJkcSo57P/vsvVhcwFZ90Nf5GzcPtY3LJEf5UWLGVBgtIMrj
qOIzHEzoyAxqX/oh+egZ6+kKjXXIjqy3Slo9hOXAFASuMmzrdcf5gO7aAsKYDuBeBDqcRR6MSzyE
nLlRc1UxdRYal8yfXTih4qKHAAElLq1Ud26K1HbnCSry8DgLC7zwVQXYYhrjBdWoXGdj4+VpWuQ0
jdiS2vSMDKxMP1kofcM4cxMCNeW8cpFhCQhKMp+MR1PiGZ10NaWU3frJ+fIkheqteAEXU9ESdQCn
g8O6bx06SZp5aCM0g+0elW3QinWLlqKMwEwtjegiDH7Xo4WYw7SVAIXBkPn0VkE1rnTN+WhanZO2
lVfhiPGHKQkmclgpn3xGHiaeDusiFzNEiWImukoQyjVZwJhjN1TerVU7SHdUl10xH8OZFz6a0WD6
SHR56y5zCDzlaZYTfxcAjD5XUyI/ynpGco3VXJg17vqeHFI1hPNqhOvnJFokTqCi4yLl8bJIo+DQ
BnvRqD6gq9lj1ERW8DQ9g4rTlJEMKFSECqD2pLtGtp8gJhi/5kOvwNQxMixK6TioSyc9uDlWJbUr
BrCjBbTmUwr5nbR+BbNb6HNLUQEIPjRQRYpiaekKauOWaFtnRRILLKcSMMjgykMACKzTLZ/A35KQ
Q9RrIG++ZaEJ4UfK2jeWAZpe+1k6HnXjyPqoSvAkVo00+aumm7PPNRF5EZWD8JUOJzafuiYBRqMH
SO1iW0sGvErXe6v7Voyh7sJKqBOcpXDEnUTZ+wA3som8SAsUOdrlVVRzXwBUaQuUvaC+S/1xza2Z
AN7O3p6ysWxzPWfJbKNlDPL6KBxtI6Oizheo0L0v6vN26kSmbalaclqEdi7h8LogWw1eDibKLR6D
OECgBS0zUfAVs4vKogJerIyRb7Mkcqwrep03c+2jdOxnGY95Ns4a9eF4MwRLCSi6z+xd2pgyXLVJ
3eafmrJhcxe3aQDFxdybZokXgXu7RK2Vg/IRTZ3oCm0H56dWL1w2eFhD2RHyMpY8JTzR9USDZDXP
1JGoKGopLxXE/ORkqV3eXciumvL3ko+TT4D9ojluog7AP3sD0DOnABC6pnJL9NeZgfPHr7XapQG+
FLjfOIL/Uf5gh7Pf4Q/uiVOO/ohF+J3701v06Wb/PaegDgDvw4QVIXDxCb7qZ8M23NOnQKxCVxba
fQxzDtfq5TZ9yoG/BXYcrgtjeArMlXylFJhEEAgx8LAh5fDjX6EUNn33bfKUAjvBuIC34kBOgAQg
wjajEASL9w0QfjO07cfV3C6BXyWNZUI3kDmB5UsSv1xi2kD5PAxYNUdFO/WnUGn4s2Hiy809K1AX
FF1S1YVD5PogOFV2ds1qkhl6Dcg0y489JdQdcyTpXTksU6/x0GF10oOfUihQkukotMl0SX1T9hGb
XYfjoFuGkyqjUPoj7m0Yp6hN7hgf6UvVkBZrnwn1omMDEHyZ94BhxhQoE91KYAcFEKmAKItCOoDg
4DpasJQMR66wdp0QhgHhll33LvF1aaI+AS5Pi6QePskq76YIqMsJaMMyry9KhBuqUToPKuoqiFQa
yqKkgoxuMBSkS3uUZXg85TbAfczp3BidS9aMEFmw6yIXQJrX3rYMaVmh/OUi08FrNZoSoGnq08Oy
mdMgakQKZRa0VHoVO1OP55I3iOhuaS3QsUNfc+0x5PvYNtkESEGVL/oZowzAxzh8ZgnqP/91F39u
zgtDdPAFFmDjv08AfmcY+Usb4XHnvdPCl3IhuK8RhoJIoThnW0QgdBzAUWAmj4I/Q2vka88D2r9Y
KEoRDgmHHiP+RgRC4xggowjh+4EUh9sh8O0rf4EIJBIaZLtuy0AuoBwVg3cSmO31PKYGuOwpg2//
89Z9VF3rEg2My5u8TJO3PEnzE85d96HOHPfHAgoiuyryIa01ZLzmrURd+douRHxOgFdSETEtziOb
NvjlVKoF+MMwCVeU0ukmK+ehi4AgC4c1TwrRxgirDMo+4DHqqDBqPm0gemUvk8WiFwSnqjsFLyxz
LQEvLKejIVV3Mi0MoHZTFuc1ornRhM7uKvRZejMvAapO3ZADigibNsQrxDlNDkdiyiCiJOmdztSy
nCLDcbrKynr6PLHJvqIzBYiU1qV9jxpc06M8k+XbcqyBLiOyd1cyURWQGVUzxwA9k5fJ0AA3MqI5
xWu4bwitHQDhzkQOo+k6FNS7wwKK08irpYNOhEjo6cBFi1ayCDhUu6Kr+HFFC9JfLPWQyUg1AFD9
1DCvuayHdVEPQ3nYUhIu0ciaGkUGLOkDQDHeREgkzatMEnMhg2T45OplsmfpRDnk56Ebbuo5IGlM
EkTTYxMOdDmxS2GnV5QH3rwGIBjWZxUrqwvqsrmCpoQK31WFrC7y3osPdTHbeIJprDNXILIqO1CL
csATSLdA5ydALT/zlrRID9kyrvO0bF4tWe4OF+HyNbMdcCnNstgYSFj/ukhHENP3iOokV9NLMvT5
GqOeXimgd4570w1nfTvmayAailVZonwdBkOKV8lQmAuzlPkHppruFDWo/dTbNr8QFUfxOMFxQo8r
G4ErGlKj64Tnx4vv6LQe+rSZ4nuUPFg6NGvnKrOe26J627HZj3GztNmLsZlluYKKvQJebi5Hte5N
1X78Q7hcl8h8niczHSkofqH5l+H2DbFDMF/8FjejVibARqROVqvRUPNmGJYggP5dDUUoLGb5uWjs
eK2KmkGelOWwakxVpzGup+BVT9S0RmlotKyr5tZVqDpql8wfd4ktzsJpWDT0iNDKQQG0liGUidRK
E0MTMVmPuRreAb6dLqERyQ5lBZXCCN2/uPRmvpKDS9Z50i7HU9uGNRCDJNe09v15xkMwujGpr8YW
21fA39K3S4XCu7nP5ZosQQJVji8u2pkkwA/V/Y3hOTq5h+lCLXFSB3yN2yo7pyP70CrnRZyUADsH
xocZEpoQH8YurdL3zSCS8KRfAEzEwVSwu0Z2BeQ9Z1+qoaqpzgPbLtDTq2p/vhTAftxyJYrkTT+B
Qa6LxgBRMQNlZ1cy6AGwh4lTapUoDj/TEHoTMXQCm05DEUnJeZoAx55m9SIvg2Re6NHYeXstgLi2
ERRp5Q0Al+K0AcLxVCQixaclnfJiNVRj6CNmaygQR2Bp6LFruyLNwGA6NkZzngf0dMx77l4VRb6c
dEM9aRMEiTmxsgrTQ9VUvo7TJMzXLRCnx7VH9mbJ6+ADLzPoc1TZ+JZXmeRQmgjUaUj8WRqlQ11d
NISVeMXBdauYGMYuMkcINDkKwAfALcwLgKqxGXW65CjTZS9nE5djUZwn1PFljTJgF/rFZEn8/38q
fxhg4JBefz+Z//ZbZLchOGx9nGAIlYSuncQwkyABPgNCeITg0JDe3CyDb424R+hfszl8QypMNMCY
AmDjMKRiI8lXDK7IJsvDGCtMMBAp6V/J5pABdrP55ju3CJAbEtDd5ltz6Qakb7X1qC3yLKxZBO0s
eYwq9cbAlJleqKlXuO2yGFJI+ILYYIimuXBHQlRyVWHoeyAP4wzOOx8Fou0Pw4TQiDdL99J0staQ
VABuLpCgGilTSGH1UZ4PZg1+M6/b0awr6txh22QXHa0/GANNwBSmreMkcECaL/KGw6kdOW8OWVWZ
GFoP6HhKCnI+u2K9JK56xYKcvLTQ8a/nlh0jx/PzBi75rdNcZtB46Y/QkK7HsTwN5hyacIHUbPMp
0JJ+bAp5MpsTKfPstLPNkYW24FkV5DGlw23fz9l7XubrnlRCF4bUMK/ATxeeIEArMDIwu3RZK9St
BzxcAWdzlHftYdejRou2SyPbLLdJHqRxWLETGOgACj+g1aoCTv29L1F1VWSzusIkTQ+ZBJ9fgE4D
otWsKW9d3JSjOc+YWeBtirWgCwXcgLpVGQ7A83P2Enr4do3q/HYIu/dhWoxHPuxfhg00CFWSQpzt
7JGnqVqxcIHQsNzwOVgtDYMzKdgtNOrfTUA23plgbiJaZ2QduPklXUx7WLYl14IAoYprdovIlL+U
DScrWsswbnBmdUt7DpwrnzWxXQc5l1XrYJznW5Sm8qNinV173I5XvEnbuHOojxF3GESS9rzF43Ra
C3zVYuYitdgCGN4Q80yTQpwHJr3NDXCVQ88hU/m+vZi6dtEyLW/DmZnbzQ8mtXbVAt6Ja9+1x1PQ
52fhkE9GGwkHMrez+bigvD5rWkE0a+v0UGRNGFvZ2RdNOtd6KQxMwmRzlsWFd+xd49Lsg7fldFIz
BvGb+T4WbAiOWMX4aYcS9i5sw+UI42R8vYhifJ0tQIjosslUGgMQAcpYTPnnIlzcqq7VchQuxlww
Y6cVmcP+aCgnaNKlBOWn07TAWAnM4GSpDF72SzGdJCxtgIwZpwI+Qdes0ZRAcxi66y8GQYtNczZc
i3LyEK8D/BK4nl5DLxTdWk8+pUWgNIZD/jR2MNciHYFWXliQYhUG/5e8M1uOG0ez8KvMC7CDBMHt
lkvuSu227BuGbNngTgAECBJPP4dyucpdPd0TFTNX3REVtUmZtpWZ4P+f853DgRw64G+FHDXf1cY6
xbSxN2KjcPQ7kDNubE6/UTpeyNlpnOEJCiA8ZGN51o3q6dcmuRlmSs9OCObHbvTPWiN5ns0bFyTL
uc+qECInjze1uS2hWi2PmE7lDiMpeRYbX1RupFG3MUdko48Y91XaeP4nP1hEMbC2PEQbrTSuFbgl
D58XOQf9S1xPrzFRwz7CSHBXmaA5RWqVOzlPHEJ0wnMTTt2xx8LBIPvjRwtsagQAtttE1scynt3U
Dl2QjTWvXly/BnHll1BYWRTKA8K+400frpD5uVp2w2yS3F+MLnzO44sLZf9B4plPujLtznPc5giP
ryx8yFw3PXPDgrYwJ4jrTGfPH8RTX2+f5Eqvn/y4Ix+kVOOLmQe6E8swAzBSIRRvosICp9e6M7EH
WbTH3wJveYvDZdnrjiS5Ryfv6Ew+ebGhM12abpUnyGvxV9nggxq7nobvVxVqiHZUr+Ah9Ms69F+b
YVlhPrUf3Dk5+w27MpyFQfm1Wu+Xtk05bBL8/NUTofMrlXGUzZRdQ0nSRld9RmYZFgEZHrTnhGcb
9ldvGb5ZDaslMvATrBrioz+6dDdyR3715/HfB/L530Q6gq38nw8Hfx8u+IX3+aHwbQ/+OR7g2rup
bR6QxO1fsU3/BByxYmNmiCHGIUMRbdHz3wFH1L8B7cFksIl04H5+GQ/A6kMGwJfxD4h0wV8ZDzzy
P2h02PYRj6cR9MNk++39Oh4s/rCCSOqyWQ3uI3wX9dwPdXzjN0393EUtLnozgZt5/AH/4ErXYbec
Hfcj68tqzLBAxCAk/kcMqK0tQIIlWqfsVxZIrwlTqZlr/hWbHQl3ZEYzKMaNYPnsyXp5VKCUylS9
C1Awifo7JoalmN8FKjeuxgDDR8shXL2LWNi+zM0iCK73CxRHqI0+wwV3CQzNOuKDG9IzDOgMFxkF
a6MN4MZy0bVrUSVN/VI2of/qaAm6BKsNZLhoxUC1qwjpRRZUkQsjhXGweA1rOFiKoQRDALOxy5Rx
CEYCdKuzY9B0KhPuMjrpMDHt7gAvr6KQcz9fYAEZGCNLFdXZOCblK2k9XFcTYvwyrUwjZVqWvvOg
Q62/CA7fCKBj6ZFrwsTED03YDjrFG0vd1aYEv7ghCDXEvKq8UYoOw97oDi794qn2YmQC/w5qse0y
eJtRlFWtdcfUtH7V55A7wXnOAalo5jpxf+CdF6pMKugFq+/ar3zAMVyM8FPCtKTchi9rbTabeBbq
6lezfpYNmdxiDO3IUg+HT/AwdqTfDwQLaOGLpUyAlPT8W93yjcmaDCVp6Qi33btYrm4ieI1BVvVU
70XZzVkpXf69UuX8kbbU/xRoW6+7ipeAEwj8JyetbbJ8HLwk1vkPIO0/Z3n5l0rknypt/+GA2raU
HwcUCENIRR6Oki3DBfnx5/mENAMKm8Epur73Th7iIT+pRBcVsckWW6Wxh5uMeDi6fltfor/5ATbo
BNs3nsxF1+VfOZ9wov1pfUFfG+5R4KMaGNX0WIz+dD65/Sj52vt7AG4tZqdq7Yp5Eu7Jb5b4MfYi
c3CstSfY0vQcqar8Jp0ovg7a4/cCu4jOAqV0MfTL/DIGZj6PXWCvP3gn8H+gZOaIQnrX/BFjzFyo
cGr3led1VTHJOcpZIPonPVl6aAfhfC7hCLT5DxSqc3WSHNFO3kOeW4PDKrzyVrKoPDG1drfWq4y7
X+I5+IxbqbgP2l2cKBdB3fnfS9v1BshNJ/dj6TWAdydnOb1zUlZhoZj7eixCYTEO4yVYjpMXTRm0
H3bsHDVCoAehY3sndLPOmcmXxOXy2wp99AUjcfwMyAMYzuCOY19MpYnzyA7tFXFKVuOT68fZ1NfT
JbYgoHuzyjUd/Mh8p8CZzr9wVYPH2DeDSRvsdx8DX2brcXSX+rtN6uUNgl5zD66EHlbKxyLotP8F
+q9Jf7BWywIVY0fWEpzO4AZsR+fYu8qE81PMVo1z0PeutO3ljVwjcvAS5j26YiRLVg8RxCQ5JFPh
ju76yS4xqbCuLlWQBh3trwkQlmc12+bBdYOihEkssu3eBceW+yIPmNO3aYxROo1Cp+13JhT41UNp
jkEr6O1IYoAEE94keUTHFtSFosu+Yw4IbICvfF/HHfsgDAes4PvV49pNppDUhw0EZ1UUydLzKtVh
5HxsB8eZscrOn3Q0JW+B0P4ngkUXhu8QTEsqqOt85VFH9rTFhGu59ECMDoMB0Sk9BcKa6ifq4ooH
17zF9A5s4v4H+6U7K9NFYhDIu0jKT4nfxWCzEzmkY+tHn0RkAJA43fwpTkrn8QcSNsbafk466QFQ
pMkjH1HUnpo40VNazcMTxo0OBGUp9WO38KE+/sGHgb2oLx3FEpf4HFwLuEex44wsH5KJh4cwEOby
gxiTa0Nyp1nMZ6CRIpvDmgCGoeYUDr65+Jo4xTLOlxp/jLPgizr84MjaTky7Zhzwx/F4u/cXIt7C
xghIlssr9pUodb3oOsQ6ue0Wir1nLcMY9Bhb2Kvj1OJtAUnv95W0aWJss6S+xfiQOiYZ9W5xRl0I
zqf9UmMGOypsULkUgxhgJ9YTvRsZhqk0cir3IVxtMF7qWToHkZRi169OWH6NS+54WQmb/ez2HKhc
L53F3hgz1R3QAS0fAS9E7a2aE+oAs7H+PVknVqZuP083jrfwp0hpGWfNWvo7OgFPVdT0H6zw7tSk
BY6tKrhKg+vajvleuORlhSv0cfUMQEVt17bMZu30c0abNdo0SgN9sQLd39N5cU50HFmU+VUirmDU
wDn1Qet9CoyQQ+bzSMX3i0zElyDCCyzBjtY5A/WwFAAc3b3nMgP+YnTNrpwHpcCu9EA7QXrFpUhJ
rBqaK/xhxotXQQrRi+3GtDRQfOw0duc6YYP3aI1Zed4H/Xc9wmKoqdbfncXV8lTX7RBfWxo6+ajK
2hYNE30HzsGf7QWWrGQFx/G6B/TNAZpqIBeFloN29hIG2NHH8Rs8OYNiOoeJixhCKW2Q0aGZwOVB
wMHhGrUALUQCcjNVJN6uAsBB58Irm8i9W9btWB3cGj+01BPl+FWVLjvTqmryvpnmj7Azau+KQ8i5
9qAeL8IPvDinDDgroJHGA9NI+TmKRXAzT11T1JLyy6IcAXms1M2uTNaoyjwscWXW+kGJmSRoludm
dYNPft2bzd9FLEgF47TmDYDMj9jDvM8m7ModKOIR0B3B/NdLE5dZgDhTEYQ1KMK+4xF0f+A1r2Cs
grxcWsy/YC+wpw71Y9mUZda7it/TIRIsl2WMMc535RnSgZ/rmC0f//1noS1VDsL2X21qf7rN0B+T
0O+P/bmoYfiAGvtu8m61oBh3fi5q+Ili3ok2luG3jNpvg1D4N2zmCZ7Ji0Mv2IqZfx+EAoxVHp5s
a7YCh+/TvzIHeREE4V9NWajImH0QRcOaiF/l/UY8v+5pTbf0OIiCrO8OwVSDekoom3MnUOJbOHRs
X65u8iy2VBPZ8k12SzoliDwNQ7WmHCEo+h6HAqFXZbQC5IWkHC4PHHmCtLHymQ3DmolKyFPXrCOC
HHEynTE6IZGAwBTogVHO1d7q3r1Wjhs/jjNYBwcQopfyLcHlqOA7yNfqS7SluwZwlFnXt+RsYasd
/c6xh3LLg02JmIq6w9HfvMtWm4CFZJhbVNFMDhxmcOG748xTJOr8dBli9wurEBYxdfCFzZP9BkNx
2AGVDZ+8ZSRFwlxg5p11l4tqQveM3ZId3WDxd9E4TxdIWSpXQdJkOnFFJtp2gfcGpYuu61hApRqq
VLbhBKB8TIpx4N7Bn5zk2e0pfZENH3MSzBqcvlQpwmIQnuOxYgxHwDDdMi/RtzXCALctH8bHIero
VyAntzCesC6CGz60XCYIzExuBnkFkOvcTiyNJIILog/oRdc0gJzN8Z8GdFlnJDlWvexfWEjKAsxW
mSdqCXZ9ssiLcQXF5dyMWVi2Q5sOTM/HOJijQ0z74CTD3v/QIDR2hgE+PUtj6Ws1wAs0ovX3YWmq
rwugzCD1mrA6EUDIOezD9VyNIUyjqB3tjR+X7Wb1BxAaYxAnBaBNUbi9iYZ8Csp6P7Yc0GFU0tNQ
ddV6Y6pZnVsRhC8yYuJLuEAzhsrJHFt6meGQTL1ZVYVueHvkdd0fZwyV9+6s2SP2TKfNY8iNLPUr
q25jYfmuslV80EY0eVCPQbGsDnuua8DH7Sg13oE2+Jg4pj6o1Yz5jEzpwYtGfeuJiOyFWtQ56jr5
RqADnGzA9Bvol2nAiCeWXTjo4CBxr7SH1ascjN0teXDHTh1k1IqTXBKY5Q7YwAwIJ0zWf/+j9TeP
jGIf/OcyWPFr8/gfR+svj/1xuOIwTPA/4UVFYQRQBafhb4cr+kOwcgS4dYUPBQqxenzlt8M1/hvQ
NgJrDewYzr53Tub3LZPgpdr8NghgSRC5f8kkQx/kP5yuaFYgWGhh3/kEIbi/V8Emo31oEkk2TPhI
lC0iXPGyIBziKX8oSuTmhtRFjxZCIKuEwhSFeofA2HSsmGteatX7V3/ooOALTr7EbP5mGmeFrENA
hXSq5N9XIuLd6DUCnoKtcoj/z044ScxJE71JkEBFdsf7thL3fkbZyiUquX4NdeAV8yjWlwj5O4Bb
Sfy51eUSZpoF/L6aOZbSyjr7BCjmhUGrK9xwjXcr3uBVboiZ93HFl6zUbvky0DEEX491kWV+0gPW
6XWdkd61AFzLwlbgzSNubpHPSA6Tle1NGM83YW/f5sl7073GnKMWekD+TBxdvtIDmI5tfjdxwX3X
ZEkMxNR4ovvQYBG7rmHtXGwCpzxtB4sURN1uU52DvWgNnWPgzW+4zixAMSqBNN/MwxsVKZzsc+nr
I8D++uQ7lGOfE69TXUNSTxL+LOWlSaqHstf0WGLg+hR24fR5WOLoSnm/5grXDqzEU3QfVw6UTI3l
tQer8rQQFZms3+zwhTtLDWgWCLKZOqRtiDuc4RTUxxnwySdPLV7a1C0tWh0ib6RpLy9wjNQNgt4y
wISnvGLwOhcqwRYBmHDZ9DtyAm3B967mn/FNSVp5UueMkaEY1dpfx0lOn0oJ+k5oBEumcHJOi+o/
L2M8tSmbuq7fcQfBE2it68GNHLzajBMEebzoZuxGHKJVlQDxqObGf25kPGcm4Q2u31g6U2HZcqm6
2LvvKjBkKYLKICll5eXd0jYf2grG1GBHO6ZuPN4tFuh+2UqRIj8zxWnr9NFt09IXxHaaFGHNoFid
OrqGI2IZksv6uY+a4bz0jr1bGpkxxgEWVVXZA70CVyTCat07Lr3FNTB8/c85NyFk/fNz8+9vbviP
Byce/Js656Ekjngw84DSoxsmwcn0YyqN/wbqgGD4xHGKG+D9ah+gpgT3/dl6/UAWUNym9Q+6IEFv
GbQ0nKkA+zAluX+J8AVM8OeDEwVoEToSkGzGoe5v/Y+/jqVdvVIwxmYfwylbwZ64w8uoQ/rMpqh7
pcIlD/AxAv/g87k6LhPCFmhM8JCVw7irP9ewxoNT3wKwSN216YYjEi7SgOFbFNnzVrrjYWEA7fax
nPDV2qNNiQIFSnQx41DKLAKO5NqHbhVntqzK+TQhQxTtJ0vavsCEhCBsMyEk0QgQ/JB8gnHNKk2d
V0s9NxMkQYq3rROEEiobuXuDKZkc6Aik1xPBOALbrU2Yr3E8l3fz7CcdTk8wYnuRsBBpQH9CKMuL
wfwhbpeYz1omkAVsZ9SZDnLGpgsiHzY4sjrFxMUSHxZ8bo9VtFiTOUuJ1odEGNs/uXoIkTYG8Rum
c2TCOa8RLQAkF2izRzildD94fSSLFSLIhFknWPehoeGQIVOsbpHrlsfWQLs5KS5gKLCk5afeC6cH
jqaASyTrtdzZqlxo4QVi+bgSTr2CQi95bHrTbGkVBcWtUfBuEzpGQzGUcwJOC9eOc9B4wZ2L1JFz
1yJO+WllLQJsUVi3VzQa6TEfEinLtK4q9hpUAtdKWCDzq2sFVmaXIHAIJYfq6FAiygGewOl2plRr
NrauV6WJE9USZ9ZUvlki5Etfz50tVtlEFwW0CQGm2eYqRrfHnYd5EEFAhMFfoTSYfPYHn6cA75g9
DdyJrktEui8OooztMVydSOS9bRl+RtM8ngT1ejRDQHSo4QvB1sHwASWpiUSt09loYtM4tNYBN5do
F/4RLKLzUDIHdkzPHbWjngwpXnJih5Qi0pkt44h3Y7iGyT0Ut+E1qZGRfAzEaiYAHIy7H2InGj+g
PYLtKlgaNmWeN975g9WnlofRW49MSJ+uQ909hwx9E0WzeLwu4BVSknGMwcdharB+aPyMkGph5fwA
kQGJtCjQEHg3yaggIVI+ITbClyaEl9MOpPThJEcq4z2vX4ScxKuAvjpmfNxC5qA0YBaNdTXsFqi/
sGtCZPszsLnOB9UDegeAgRM9hZWGwA66QYa7WZYGFI6IIYKCi1R7uiRIAo9bzHOOuuQKf4c8R3Iu
j2OohtyMVXiE5jFmbdyF15kK+eA0c/J9cJJyzF2q5rc+qfw2TfC5wiV+hORWxy1D4YRtyptmI/1U
7Ac58t4cR8KKtNiq3Le4pvV9N00mPOq6Y33qNpXyLlpB6ITcSd9KBlk6V3ZhFJmWrgLMaCp+mhh9
q5b+KmvfPzPHNwXxefdI1hCdBDFqAa5RgqRkPrQ95hVX8hG06hgxVhC82E6KiPRw1gOqBNJezOwD
DmWPpCucsLulrlcn7Wt3fqANga2FYhXHuQ0gktuMAR1sHn0TVB/bRLqb5EuADRAsY1kCrDU4Bnjt
PyIJH7KMTCq5zsh1TQfATRIi7NrtgwkZwLTx7TduZCD3bu263yVYjwdrwuHiOInFxtZFC8krNvCX
0jYMJ0EXDmdgWcGMjX4NcZ5WhlQ7P1rdeg/GVOAT0U0HZ6kOHB+kMHMShwPo2XbprGWYAIGPON9i
aZF2Z0rJZ1iGoujauvy4Knzwnxw8AcivsXZVnjRwLs+AqTVFPpWpNsU+ivGCrQkcWQSVjtr0BDRK
z1AQUUU6rK+kXYXBatojMkaBqHVZ7USwapNuEgLwrsdIOnHPnio76ufKpcIp6BobCcO0Aujx7z9m
IE2DkfdfBomwEP9xD4A/ZozfH/nbhPFeS4JhAR2NSB2830T4x4Sx1ZltMwQu8C5a6chGIfw0AGEa
bogiFjAkBLAy/QEovN8rGhMLKp38AF8N/4ruhST2nwcMTKwgAbfbXnguMg5/GjA8v2Z+IsOjQlfD
kHWb8I06JWjgmLzlFScwaPle1NY5GReHtO48PxujNpaIF9NhzhAL7cosHGqLuOC76k5jGy25E80O
1PgawvxCVkj03L/Tm2gP/ccg8g6p3rd8ijNcs/hTO3bTjfeu+VfK8e95DT05tRbB1dulC2EQvHsF
3btvYN89hGSzE7DIwVno3l2GVXdyF2rrHGqBQqBLvBkSBtUhMS48mEnuHLHK4VBx4+ad3wTRsdZo
wTCbvTFhz/IKTOQcWaMyDD9CR3d4xjzWPrgAxvGticW07tDb5d06CaeEsCIA87BXRIprMAKxgFyJ
pibE6AkV+6aKm7ObiLyuHXSGTGGZAlkmD62dQRFZeut2MPaI57Hdlvc+1mAIUl/ZHOy3zpqatRn1
YCeoMsn1ALV+VCitcBDiqpI4vKCgoLsI7jxTt9v3AdyaIfBuJq29Hdy2I64YGOTcNicEuccxXqtD
HEwgznpw3Dimg+OAaHkBSwxpVIWpax6OWDFfY+2cJkATqUD2QirzoQnc5EzqGDoV2G/RDrdA3c4e
MENQnfO+Grvj7MQynybb5/1Ec39Frrxu6+UFE8N6W1dyPvZRDCQUwdoyL/0u+PxeVeDVXfuGcGb9
RXjK2al5DTKj7XzWUrKHxgmq+7gLaoYhNCbOGXERuV4QyQTpWsGGlOkQ1Tiio35J+eD0ffZreQEM
ztbblUMojx0ZVPSP5QVr5wx7txr6z44LaTTZkmjSCKS9jQr2gTJTg5ELi7jT1OrFrdv2mTRtd24c
PuEUN1xd8Kfq7lDw5SA8KgPYzH20wj5ZYbXvVp3AV41dhh13aRU+UG3Y9DcStJubCg/wL9wGBIbR
5jKGWDHhUaQiBka/lp58CUHWZLGslkPYDc43raV+QIxOZyWr+QU+1+KnMdHzARP8lAUsQNagUvhJ
GEQ9Mj1NeA+qkZwH4w0Pqmv0xeX9kqN3ocnhW7eHkrDusXSars5hADrXtuLTkz+MXR6IegH6w2Jc
pHrp/1akELjy0S623ijM6Q5vIgC9cBiRO8blmSB5mE7THBXu2uI6toTVzg386Zuvgc0H3ZK8NH1H
3xpKtbxRkrRRtfMmOs3ocFkQ0X5yMZEjLbQ4a3gOk1jsVC3gT/kFBZ64h1bUnlaQdyhBapOXks5o
Geu6KCMEO33SI9OA/KafVsjKvyK6tPPHp7pX9Cy8tdt1LZEoQBvX3YJQrxT2sTbqBCxwT5gqmlrn
PXJBrpQHhWozSPH11Wmj4dDLKSgsCtsyUP3iymmkb8q6s7nTqUe88vYBA2uLHaeTCCWDEdWzjL4N
1ZScOGXNISjXJ7qlqL0KRiAocf0Wwp2+aystTrOsCxMP18Fo+jQ3pvrusnn9ZpYuyqGaM9SQwGWz
a8XuJygfOA8ickHcY33Fbeqhpa5oEjoIo5oCMUeew+VGRF0M/hHHJ9iFAfNTjEMNpPdQ1UgwTuTJ
orYiA7zB93HpVTskKsKLh+69Z7ZYfoNCpaRYrQk+lsQRu4A+meTUa3YHqSXJay6iItHdndMRdRth
jcKTVNWFsAQNEcY1eRv4/X3YzcHVKOC5GDmBheOlwQI1l4dwbNktrmnb/NPpOWsjH8itjthHmcQo
ybPOnCN/T+/pOqD9b0aHxWipXSHxefaxmb22ENDE9/6cuDATiFs+15x7mVzWZCfwNttTbCk7bVl7
9HvmnIhclpM/qDbzWpYzzMqJiqDymLDHoUdp5lUtjN9Yhbde6Ix7Z3Dva+jYUJaWN91gyDJVfZja
Zg+v+BbRvKeeLTeIf81nq0l/ibFa72sPo55aYNGwZap23E14VrYxWvmo0rvIcQEpoJqlQC8HPuiO
RZ9JhOXqALK5yeIKCR0RgLzVrPnAyiDJomaKnqOVn2iAD3EyQHBzSglbkm1vxYAwjNA25DszTX2L
a64zedkwN9G5lzIsEQMG/3ytDRbZfAxYKdPJrLOT4y3mwbxe+mMz1G1yREYlqD94gtq9LlGQkc2C
zUWAdXgv0PCRNWaZLhil46M7r/YyB4sZn5bIqXsgfbILU8aZIkBoQTbCYA2YemQo4HrrvVLdh+j4
edCKKZjGyhVoQWzQhgF2XjVt2mo+m4O12DHysNH+a9zE8Q2G1C6lKoi+oWYJYR8EbNh8RQsari1J
G1YZNgFsLIn0p6PmSemirpAPHoaTCtdHmBEl/IUJ7g31K8y1fV/ZIOVeG6DzoOn9TzPS2HLXTWvf
7siI98EB1jZ7HaMFiWGnTry8xWk9AsyvFVqH4vi8QP05AM2KwQHWwONLr57uPGnfnLZ9FFU4A/1f
afXFncdAYYlHy8Ie76f4oXNZdYASMuKCWluer0skI6B+7tDuklChEaJvXNjfnHU5OgpobrCnPpXL
1AfnUUXja9nDCEoX+ILgZXh3XdANhWaBDpw28QcQEaZqNeBs+OJlNzYHYigETaacjxgZ24OTmOqD
odH0kdgam+Uga9RcWMD0FgFtZXz1wV2xKDXcBZUAHUTt6x71D8E6+W+Nwl6/jgEuw/ieZ7dt9Qkk
C96cAbVfErYcHNRe7fioFHKm//4rwk8XBrP5v1Ii12/d9Kc7KP0SdKJ49I9F4f3GxPBIUNOK1BK8
8N89HPSHb46ru0HJKDHEXvL7orB9Cd4O/iIRCg43vfEnKfh/6y9E58Hfbwo+2g7QYg6ZlCI+hcwT
fuO/SpG/9xe6cGHiCzwTgrez0yPxsU7TADw/ieErz8Sr64PVq3ry3wlTVBtSC4knaNYdG3r6CZ0Z
5iMKfPh3uSGq3eToffzOrXobwtp7q9fuFbI0JK1rtHaCGwPwKmvsXQC7Zm0L2sz9HjY86Fj+Tso6
sF7dooki/UxnoLT2napFTQxSiGaJoflh4LKysBuEOyTheBHvZK63QbqRgBOV1e/s7vLO8frrym1a
c5q8Mk/HcOjXGmmNMurNWFg1otFTKPHs4LJq0BUoXxLHQdEP74HporNw5U8RqrYAspQLtCxkIcx0
MihDUGkXJ9WrwaUM/QSugEwzcuDIIYGxgv/RzC/dlMivg/KTBTnhkTwipY1yLd1OLvIhvj/DRQW6
N4MrKtEZR9sk+V61sr9GwKy/kWq5rRAtb6Ba9SjLAwdOTFpisqrSsvX9D9UabDIcsYg5BxL6C9Ao
p3pmKH9oitWTszgTnbDpMlRBvMOoFPsvyHf1OOznaiZFgHRxMfnShb6LTqeveDWwGax0qdVhps6n
lmGKWjuMBbCq0HGESPNS/QfkITdJ4P3eTf/8nMjkOE3/9R57+K9H9aq+4Vh4r5z+UXDw2+N/nBQw
GeAGAFkBdEs2CeGnZxHhZhHxBtjQkFBANb+UkoCkScDKQlP4UdsMR/ePgwI3YUHiAR4wcGQCQeCv
SAqAJP98UKDoFDbvVqMf4tCKcY79elC4BoWItGzzZUCqLG8EkA09BguIy/9ThSgKHa0LTSayy/9D
hSiMOJQUhbX8f6sRhREjUEilNCyQf1Ym6ksNUpbVUV3uY8+YuwQNJiwPpknwHLh0BHtVoKThjvZi
4Gm5tcnccttIvgckHK6p6hvUC7bNUn2oEzOJHAI6VvHAxNoUiT8kwSkxLhIDZQVFJrMrSmCzZULJ
DYgjx+ZY+/DroThsqrJQIL6XRUGraGbRLtxlMTpfvvhEx8cZVXospZG3lLnqLEY/JC7KN5CcCi15
ie9c0AeHKqgZPcvNXuApHrzATvcNh84Oz7PVHibjlqC8axpsWjI2IBZHyzcjKGoA3LJDKJXPzB/R
tND5GoMxYqb7uEUENW1CEwZ7xNLxVCOU1A9q4OMn1EWi0BQ+xSwKxh2GdTYxuAYRv7FiZyoAL4Bi
FslSBG5QQ4giD/ocxj3KG5WvXXge8HluohUNoFthAuTtkUABgiWLgz2fexI+Cd8KuSOiq5y8o4NA
8JxgAt/7VdfckKhUzWEIdT2n9XtljXivr9Foa7uLOEGpDezxPsnse+ENql3snKEobD6hMQOVONiI
UI+DyH0jITRs1Tnue40OSgAEWKD3jp0GrTX62K1jE2Nv7pGnBzGBKRTWr0Q9YtOQ8+yyBn1Z7129
6OU2Yaq5FC//OeMYFMx/fszm3zr06P/DAftzlMNjfw5jUYgzdutoAX2CWNfvtCLFLd+iGCANiltw
/iJ09vswhjs5uh7B8Yua2e34Q73TzzMWNxvz8K1bkQzOa1To/zWgZnumX3FFDGPbCY/niQhaJ3Bq
//0Z66OTcqKiRg+5h16RbQwA2YCilpEYNacQicAkq/epobWGoDtlGyak9f6bvPNabt1os+gTwYVG
xi0JJlGkcrxB6QQhZ6ARnn5W8zgce/7xlC9nfOfyKUqURHR/Ye+1wynIVInBkF++2pe6I7/UIGAU
5beqtKlM6qZLPuSlXqlpUrur9FLHmF2usa5Q5U2fuVQ64aXqWUT/umQeldCSOM1TaQ3R1v9RKTUO
VRM9AxUUGNHwI3GMWGywePXXkaFhngproedrxNWYqkRqZteVtNiexW1UlzuF4D9pFzPW3Aqexakz
Fm8jZmg4q9k2vWEFmgvG3cJfF3eC1Jhnap5+VaW5YwRFIXnQuoEZBMcN+7g1ljhf7EJ7ydpdn2nN
nU3sJrjRDkvE1ojSiV8TirZXY+SqXgloiGI7G5WCo0LrYPILW1qsDa2vv0ezC1qHA2rkVx7OcCMw
i2BCtcsJYWGTvGFEBfvfodj2V05ZDHu9nxgHIJUXACoxGeSrxgFGuAERaC4bL+I0X5cZbNsNdCBt
WHX2/NrYEL4OaD1ZMcdDBlaAt1TGu7qatTrQ5h7speUuK0Sk9SeXQcJaDTpGpxSjjXmGHOTB3fTj
et2lpX5wVQH7yrsZ77vMWL5SJJrHCTn5gjq+K9+izhAnVsTdsl76VmnftVg+wixZ0pWMfOehVoUi
O7vafdNjvz9EKBGO8cTsbkd34H5LQ/1LxclebVrHHAOSE0QdNCA3Gy4i0+Wu0frmS5n4ec0Zn9qn
3LUy0NiuZ77PUTi7R9ZxVoKv2BGfmT10Jr7ZxS/3TucqOqDvc6tkZR0+QDoyql2TaB72ujjmH3EX
szZwXHbQfmZVh7qvnQrKwOLn20ak7SNlP5QGdpepxpZVMIG00kTLkHjiZVhneg+0JbrUx74qlf1L
1exdKmhxqaajS2UtqLEdVWz/aw5cpTX8nw/cYxX9Jd/5p+ZXvfTHeUvlivhbSQ0tzlZBYvFvNS0d
rqGicT1EFnTHhk3f+buA0QX07/m2jb9XdywVbvKrgJGjmAuTvlgVoQod8o9scoap1mB/zimxOG95
C6gXGf64ao32E+WjCRcCRbocpUo/2M/jMBq7tGY0XUSO1m8qNw0lG5V5OeUoXkaOp2Y+GiyAA13J
gXPpTgeMgNpXn2VBxMI5HW+GJI0ORTs5gSFF9aWxQntXM0XqWILznbTOS4cV0MwKrgE7dUCyZdre
2rOjTGt1tRO11hVBolnpCd4lc2abzcEcyFkslIKg6NyViEzIo9jjkDi73mO7oDckBKXadaM7UinC
WT60jSFfurSNIRHgoTh6zG9hFBSVmAMrRee06RIh7hOvtYeNZ1txRvkzAgdAm24990OoF4GFbeSs
dYuMHioCW6yzWybw0uM4s8NAY6kybaPIi6qd6Rj5lZ758On92MLy4hl1lH7o1oywMIyFBps6m6iH
dsidSqTvCQJRPD3q2ij05Itmeygv2sXg3OZERPgoiqX4pmbiNwwPdWeNLw6cQkQ0SMP4uoU1TBMi
z2a9WN6NY0/GFXNOZ1fEurwl0cWAbpsB+g7tFv5qOcvbzKySI7kD5iMAkOmskTyyqwrX3o+pPh48
5mPfIGOkezSL8k7AecnWXVvqpz6V8Sbz9D22M2QKKEG17azFYbt3c6Gfclm5Yq2F2XzvpdJL1x1r
BGifwqlOuVNp5mvmaeFbP81Ru3UT8ge2OHjralWiGpkBIMEt3LkxCF/alsnaYfEywdki2S+OgEy1
L4OV9W+gjkC0hYrWNitu23RBuBGMAs5tuqDdzAvmTVPEt+YCf9PdGUmuZnJBZk4WKTxcTKOR5X0u
D9EFIWeY0ORGxZVDDqpTjSranLiA5/wLhC6aC/eT5zF/qP0SJNyU23x0y04rN1Ojl1jTitrZDnDU
7ANeVOYXlia9jxjt+xtGeKabNqafx7aztDWpC+5dIszsVEzTcDKVhDZse7kTKHfrU5vP2X1vNtC7
st5MPjszk996JdjtsHMarAIdlOydWO75BJtHf7SdLbs1b+8IDVRKbbYHNxksfw3RvNo2DVr4GB1d
MOQ2xTkjlpukq1kh8ync6GORQ27TobNPIvk+wcZfiYoSkLnyED7olfkuG1PrtqPReWFgtHh6V7q+
JE/lYoxfyko1hDPWbaobzXfatT2yQKSZaKZ11vXdFZoV1spxEjpXYVoPR8qF2r/DC1eve6s3+Psu
dnmmndlo4zDtZOOaCeY0398BYY7OjelkVCEe0j7mLZP2nmZpkd0MckrGc95k/m1o8Uwh0e2tVy93
Y38X+sBn+y6BccsCvV2Tu5D2D2kq/IeIlnGVgct9XfQO5gZva+qvPWsJt9WYiO8uK7d/D77C+ttb
b/PX6OCfLj31yt+bDExNCDxRd6LiNHXurx/SENoFLhkGvULp9v8kDSE4V5mnUKeowh9b1B+DHFwA
TH0gXjgcg7ZhYbH6B6BKSyEv/3Lp2fBl2dSqoDBImn9pMvq5DksApeu8NYoruzKWU2uTOcPx7zbX
euVUT/mcFsdm/EqRj87DZTvQsJTfFlGkB31jZCc/nxtJNlSrk4/kJTWe5U7uq27p33BBSdxInf00
+NKUfEqBGK0SOUKb9i/1cOoXgmyGTFtWsCDmXXupmLlsRqRtSYyOhBtrOEKoIAPLNbqHITIqMFVw
tA/4siEyeIMUm6ga5j3bluKtMu1l1yPdhVjjaWR4sTlhHpplNeKs2b0xcWkdm6LxNkU7M90Oayxg
5jgGaWx3DmEE+kMoKvvIZdEx112ia0f0tR5EbMU4S1j6ooD1t3TsiMr6ShxCb9QHvIV5+kKalxtY
g4VyVVMpJbWPU6xWD5avHrHk8rSZsL+WAOd780quDI+jejBjx2bj3MxV1LHa59G1OW2u9DJP/d1Q
uNar9uMpVw+8vDz7EpM2whl1JODw4nRoLydFxWL5XKrjY7ycJGh0p10cuxtXHTO2pgu+gTp8hss5
NGhaf8xRuV5xknlqbpx1V8vU4nlw1EFmXM605XK+paNJ7ZEO+fRFqAPQvJyFkdu5YZCi9um23TIs
az0Vw4FuWz8KXwUPJLB5nIUuRVRWt6mtEtmfBvVX8Y2eYxB+G2lXKadUbWx1vg6Cvdk4h2A5GK7z
seCK2Jd6+Y2GlESTAQlKV9XOLhkoYaa89I5WF+Znx7ZyVHO1qzFaEcsNDfGT26TX9tJgDy4t58i2
Aap3X4AwJeqMH3VhgGQl0y7MCrD8wr8FscSIXnrGuayHeF81SXRT4kpEKRs/G7hhd3Fn3TWQOEjp
YT9o2/hQCrIzWJNmKy3OGDSN/T6s9Pojj0ZGYsaAHhPm45fYgyaspyzS5/5qHh6GtHMekjpkblQ7
ByniPODnzDZO4xMBlIdFvOqlJe4bzTcfh2Ex7yEMk3oGbfa+RC95a9aRf70UOb1xpufxdS7t+NnC
nIzdwpFchVNvnyaRAYia0+/hAMEwMNzksfU7A/+Cbq0dKzXXSxda62nELtzCIl17uSqpupn8Ewd5
rDVK+2T4DWSZEtGH7RQnI7JzVsRVrSaO+mbIY+PWGLN5b+qMsdAWRkWN4VnibyikbxKBlMsAZW/y
XSt8yjya1gern41XAlXcr0to+Y/ECs6kRcwWGuz5PSr6w2ARl+bUQFdcq5vOrJJzRM6y8d601ht3
UcfHQhaM3qhVN1Hc7RPRvaOKQR4yfXGrbuP6sOX0PhLvHeiLLc9aQNf/1Gv0p2P4zQSDzX542dgh
vs+VN6TeVieMKJgH87ZlyLua3ep1cBOXX1BfbPIRBanptN1atgsaN1F+Cgh3G0Qj1TpONVVEySvc
kkcJ4v4aTZUXDIragkeTFK3qaiIFfUMAx63nOVdWEn+vC9tY92NkQ5lEuFqMXXZLIBQWKdmfuwyt
VMz8YN8m3pEatNygEX6Y+/BQE/Wkd/lzDhAo8YsjspnmuvOhzemitbActm92TPINpbi5qmqxtYH0
6Cnsyny+Q3CG06Wdt2KZ16Nelus49j6z3HPhkkZa4Db2VSjyj3FugO1ZzBWWHgMpLqu1r08Cia6/
hcb06JZP7tQ/ZH5nr33cXEFXew8DXpwhH7e21SygDJZb3InbycaDhD55yKKn1JZA4UIedUIVbBQw
0meXbSe7HJndi1HYKyyJ7jfNDfmqSJsxpBOclNXWWYwp44ZIuu+ag2lxGuN36bWTveqqqSpYuE3Z
MXbHCILZ3G+ySWg7BHjhPrEb6xRluYjWqZcjPvesLSKy5AMEOqghImxoItp8E46+ta3tEBFhSKpI
qsXeGTpEuTLKBpBiJJbNZBsMXmo73hL1k2FUyIcTfgb7uqHm30we6TB2ujwUIV77QurrYm77c5jT
X5lWu2kWf28UGtFW5IEFUR7GmxZH8E4APl6Vhbwq25nsxXKcd41ReQG1sHFvanQgYW8DSCL/xgdm
kKXB0oz6x5zM4300eHa3GpnYa2SfycUMul7qBNn4ibty29BfV5cJUQTN9k0LfR/BsqO9E32AsN/y
ypvUGgItYSIyMGG6YgSU7GZNtLt/zdDD+Nvy70eK8B/7u1/Hy+pFPyo/5SDSVeigwxgZiOnvGzyf
qELM7IppauGIVxmGf0iCTY8VnYovZHh42c//OuxAEmw7arDsURjCvLT+menovy/wWPOzXVTvhIk1
a8Y/DzvAGZdVn3vINpHxr4ZW5l+qNLGp6PI8yCJb1NeeErOEkV3xDFw0Lu6koXfBAlOtMRqKtR9x
LCdKEzNe5DEZQiEV+VQi96xnfDmDPTzXrvmOF7G75apNVvh0cAb3uKv2g1LhlKDAb9KLNIdssVAE
pVLs1N0cfYQp+S77WDfQ1QwXeU+f6+ZbHxqIfsqLAMi+iIG6izBoVhqh+iIX6pmVijPAHU1f1bPW
HZyxaNmGQ1tjE8WK5mCqDc8ZoyRSJFupkkqlT/KVUoni28R3o+RL+uz34550PWRNBDkicWqzrkUk
wDzIDZxqyO+LrBnumBXU38RFJGVcBFPxRTzVyxg4qkCvVmzcyJqrxyzzFoyQoYfRCP1VovsIgJUm
y62BcciLUGtatGXX0M0mz1IjsujgKFUX38L40g0zISgVuQ8osy8SsOUiBysv0rDW7txjAzdZkL2V
ltm6UjoyRynKxhh/x4bIr+VJNiA6V4U/DFtzJk4pKTtnZ4ygHbsuQkMketwkce8htKpjDFRifG/B
PzdMUBACu+UdIVzJwZDS3stLUhRBlFdJucxXY20ATekxDa3IH8we86WcV37VMiLnLj/k4eSvmqQl
LogCDQBO+6kXQ4oUFPU5vBSRnX7ES4UEm+E194nP2v8aL+XXWBuO+J6n9k7WZWN+GC2rN6RVf0qX
WqDSIqnKCnt4B5tm1GxOi8R9kJPOf9f1UntABJwILUdh1BuDDw4bQpvs2EfEWSYUR8FCNqGu3aWL
X5EoV2pIu3RY09ZmGfXapUC15ZWTx9VXyuuU5K2YOckq90fnAYi6cdUZuOjyiM8C5JXYemy1sLge
Z5OtNnl18tmQuiwCGj7rWFmuqhdN6wkxo/fVQeVyQ6RXcQ9DYz6EeMxuI0qom7GKxmhrMKVDbCmn
DyNKEJXFs5EyZEyMLoFwnVgvSdUaX5GFj1fujK62KKd27cxU8kFOxNHW9FPx6vtj0W9ygpJvp97L
ntwKoH5OdbbxSwX5yUo0zG1oztluVDYwPFvu2bh4w0iiwyeGIwfU+8U9pisjWXfxlCVJOqBpx2k2
KctZ/sN9xpbhNap8/xsOLtxp5cWpJpVpLVT2Nf680xaTEZ42PGv42zwDxtCaViT6zEvLLPHHYoZb
ZhAyK91yewL7ZgtWfdun3OfKRLdkyk8n2si5Nafq0dQyh9UKVfuxNmb7FEbz2Kka3Lhr0mg20Y92
lQhGLKHPkZPMCz2sJ54GVK7JGu3k+JQTM+dtc59wyMBMuzQg54NoYAKDmACyhusOnNCyWzdYCIG/
Yj0OyG2S3coKtexRUs12rFWo9Och0p8L9KPBP79N/1/H+hh/u9l9qDJo9f/jale9+Lepi2foAg+Z
zR7XIymE3eqPqYv1C/enrXLPHZ4YAzDez7cv4R+Edvz3nGBl42Hfq3NfuuAUgOj9k6mLod7Yz1MX
vpALyJTRDu+QRYT9l1WDS4Soj44VDLE+EmU1ZuWebIvrugynl8pcwiNr1uqjHGPtK6qz8pqfdv4y
Ct0/D44g5ibGH++OedYRBZAJhqpE9dCkNnsnLuxPZwl1xq92I26YS5Nh5fbhlUM+6TGq5HwYCTFj
bC3nN20wY8TlpvHeQBkg3kKeoRzna82rZBgUwwzIm/gV4mKb+RtW/g5yN27Q+4QYDO8qqsIYXUvT
hfRMFVCSWAe5N9LLWit3msZ07eqTdxwL8reAn4Bv2dSE7kbrXq+9ikyKiMiwsHFastormheBPwfd
6zIJEu9GVO1vplMSfEKicaNhANazlwFWidwl/eKoeLBCvyUZNpzWFaddudZbkWgBg9b+meccrhbs
s7QL3AEuM6rCTD56MLaIMxO5+9CmKLNWlOIpiNbcirdel9N8hEQLr8qyE8NWMxbjbm6iZMTPx8pq
g8NqirelNoGl8MhHfezNsCIYvbKdYxsOBA6MRlHqqzQNCeiIrMxFzIgK6LszdP2j5cmtxsh55RHi
eJ9rCefrDPUHWYq76I9yDkmm1Ra431Xd94/xFJVgXVxRbCqKhdsG0sAV1mFlAip8c960lUUKX2Yt
19PY+SepAStbrIZ8J4LjbyoB/30TGz6aReR/w3cHZ61JVGBbfsph6u5jX6MlmGgAst3/FkloYcGC
5u4yMaAPE006nZcFJtF1V0D/2jKbi+tr00CIvYaqVi+bnzMKGzNtF34GwCbMgjg0V+QR+lFQCgwH
VIL5QnsWx+Q+HX/NLgQP7m+U93UO4mkKuwPgGrs7INIn06NW69snTx8NzLuyebSrqBGHks3RS8dC
p/pIkDo4a1/GoglQhdr3ltEJZJONLFZG288n2ehqyc4QZ6SBhXeuZWxRjDwy7dXEhZKtGrBsxnVa
dNN+An1xwgPiHua8dXfYtuLdmPfNa4ezAdI4zrhXbQ6z1yzy65tx7LNnPyOGYlvmmjGsRwIMr7uw
j29sgmNJXeVqRtCBsiIJUlTgkD0Ei/BViSOdz1SMs6ElGLAPY25vsueTbs0KydlMLAoRhkVzTCZ4
1NuBr1xLE7YRhOQMpR4wU4sruMLmN8Rnyw038mJsNL+avtZ8lr+1IQYhpSxAYQR+PEy2zmLEyEdI
bY02jpWpIBFrWLsYsQ0osY3eHEy3cA6FHOwr6XIpU2U41i6zwuSVUiObr3xzQNorbb27n6HraSsT
i6+P+j3WbkY3r/4F23NSqDjluXv+Znf+8W0o/4Na6feX/rjQvF8wlto8I2y6DUfHvP7bheb8omMh
VQZTekIaR/FTO6nMpyRR+CY7BIeJ6x9aJZ/lg85VR3iA5SBlAjrxD9YIsLP/eqFxOeKp1+HLukip
1AL/5925QXwilvwZGYaIbhcydt6FB9Vt1U1eGYJ5QY99SEVkrzPbGrRzguDkjlRNPpR9U/LIRQWG
KSsRzToFLRitJ3sgQwhvM8GZER9uhpcovW8Yjdc3lqZDckVmuV9yqi1QnaCoaWn4rDJDcRnJlbLv
HzSxaO96VrhPHJvxg10Cjr5rrBwclzHM5XnxGT6vk3bAjG/NsR0wZo+ferg1WZCQyLs3hQYAbqTn
hRTmLYdYGb5dZf22Li5w6lUz3jK4p46nunaYKbaj+5pieClZZujtpJ5xJIgJpNZNy2zl2ihE/jzV
TTVCPsiLjnhJzTyP9ozG0Q0lU1m9m03tsFjRcp7wdG/YdcpdFubxIdRrESRu1Rxxy4rnsY5GsYpd
11z1Y+a5e5TxqvMa3Qctn9wCLWiW1EeyLsuHxdDI5KgNPX+TlZ89UjI120wP23vdLwaCqocoSPRR
lzupEz3imv3wkusQx8COAaIsGhsnr661J9viKCtIwridnZKUiJnoym5DDZ+TC8vDcDD1AocrqrkX
PqrjZ8jN/pLAzAxQDMFRm8z5uUFuqa86RFdyC3Ao3S9ZU37QRy/RxnRrhws0yZszmANsPQVOUNz1
ztmOXIg9fedOW2Lo0xNZS+6hdcX4NSzN5eCHafac96UNyE6E7k1WluFtmRoy3BUurueAgO8Wim+h
W1eJFbnfIU46n/ai+TKoJJdBENNw+kh7+5Q1+DhI0o8MFKLcJrilagUrGFIfJdjY576yfwaOVuOC
rVvPBxYga36DyWA8ylBWt6kXd+22zAx31Zk5ydN5POm73rHHcm+XdfvKmkDfwbVNj4TvzoTEO81k
cODbzlPlu+m0Vitoi+R1F52/nPNkL9T0vExTJre5kWrvItJJ9h0cmCiMeFFRyCk6cU26+2QpO4R1
fXvN6G96CAlm3WaePz0kGosowy+ljdtsUEwPOU9XuQ6hdZWThX4b5X4MUZkPdY7gNbALPUzXpTFO
HznGoysClSfoFVlNRLWAS2gCHJDg66lzyUSfUgnXlcIQ/fbYJM+mesbgnooowBvlniZHNM+TJq01
pcBnXWXxh+WzzVmZ1khUXZ8kpFyaZJ5AoxUGAN2iGHdzknYsOELNfi36KK+CGazMM7Wk9TJ2nnVf
x3FdklzHjCPu5/IGKS+qO39K3O8JKkU12CCFhxKauZTfZv1ZFo1h7+Zp5pvpslxOmj3GH3pq6bcZ
Mst0RUR4AmkjbQ7c4tZ1M5J8ttJwepQrOw2du8rEZh6Ec+0nG2KENaJIluY28fz+bPepfzfgglzW
jOy1Q+o6oEl86OuBhwkj6Gc/++6aDexD8ovHXehZ5Lh3rWsU69meuhlOqh0fmt6LgNTwj2cdHsYj
ZbXS0mXkXgU5eTVq6NshxR4cuN2OV4EJNMYE54oZ30ayskBKWFO8hplF8Nocrkhj727nFL9+OkGw
CVsH6KXVmdGH2+YV5tYyTPHAepO1lvEAYJZltrVdUE69NLo2edhlCRBcYZFPge8nVfkEq60fcAX2
wPylVRTdo0hMLfDqJnurkjwOQmfuSDEqw63TL+OTF2nklcbhMNw0GTL1a79oLW0DVFecdDSC6Trr
8QtvO11vTXbERjPu29KY35oktMjexc96bYoqSa9QgfOXNLC5msfQQmSzgQSZmAGRivZ3Ha73bZ8n
+YG3Khk2ufqC2bfkFNX6aRiRGBJC1M86UT0TJ1nFMU8Q6IsWRRgF2F8jxJmp7TYezcKwHyvLibaF
V06skuw4wVgIRrtbZ0UvP5FtRvG1W+Sp2MWFJxGSFI7t/nuG5yZlyN9VPf+JqvHrCF299EfV4/9C
eIfqunGY0LK73u8KbZcZOgm81DwWSmxBGPgfbbzxi6OzgqcYor2nz2a0/dMQHXkPESK2Q6eHwe2f
VD3GX5GHJqN6wRABEw6DBoTaf6l6Ws3IdGmbuypduikweZ8s8FQNgAW0OobkVbSHRDFlnAteJopC
UDNuIz5iuBXIjxWJpvcWp93NS3ds3HwCK9SkzTnlCu72LG19fG6KbEM4Yf4ydST6HpJFqMd7bJ8A
9YTEkNtF8hJFWpI++B0+iTU2dFLTB9kZO0dU2i7nk7ms0gbIQ99X/b4nSCsLMKTTMHL9I7QG91eB
c9band/NVF8Wq7qT6yZ1vp5rLYPtzg+0IkdsOos4qckgx5WcExpyZSh+E4e/HG5dyyWo20oYWgIx
q4gOog66o57Ig5gD+yOqU+czTrvmOzTDvEf65ll3Xa4zFtYEfnGk32iic1J27jquXrEFFlTuG3uO
MwCQM7GZcM2/kY8hcCcnDd+2HIrsaaCx5jAqm+mai5L0yZReFe6K9dWGnPTi9zHaP5se8BpWFj+s
TX7Gmk0CYeN6zyksk/mdJHR9OsrMHufA1bPwDkArypNhoe7xUku+OCDO33KEy2uRZiLg0q8/8xRA
T5UZJQOVPL1Z9Na78aKwuDWyKNwveO1XzVAxOo8lFEBNSusmMqSD870v7qh57H3jZvIm5LongnBx
uw80QaSwOUWSPQEEz16cqJuefOl7u8Xq7G9m1o9nWUb21rI5GFdS9tF3FNWRGwxTZDzldl6Hq8rP
TWtX88g8Mf71nlI2Kq/ku6fXXWTmhKg4AkjnPIZcNSWxkhvQ5vLoDFm2r1HVD1e+2+jxOvfgLBjt
GJ/sJkz3deTUN2gtRbWawpQsScN255e+zLx17M3mXeYU/peMCtDalnVpvGMlzL4ZQ6J9wa3sfnpO
Ou8n6viNvVj51iukeKkzT9zAdbLQcFbzeeym6m20J4gII8krkzSjUz+lhEkCpOcXryWmt0Eagpmg
S6rxhbGOC9K8F+IuWxqkF07ZW+9dz5Y1ggQ27DSjLJ9RPDnPYuBQj2sd3AZJMN+HGWGhx7VzOzoO
RikvGx9d0Xv3su7MJyvq2zTQYlwADBCPFIX1hwlo4wYgv+6zD+sZJFgtrfmKMWH1kpZeuJHanVXP
/ZmgaKAdTlFdyaW1bmIfWp3B1uzQqEp1sIhYGJ06O3WqjvVrHR2Ck+buOY0zxK6xScXbyea89OCc
V3o36NGmBMHzUak6Ga92Rsl8KZ+lqqQBEFtQ0aiuQ4z0L56quFtQfS+GqsKbSz1+Kc2nS5neaA4l
e66qd5Gn8Y2hKnq8Zta2v5T5mar4HVX7pw0igfjSEFSqNxidLD/Ng1ffuqpzIOs7e8QfXryV+HYT
Ghx6jPHSboSX1qPSUrYuHlO7mDmsu49Ul0KJTMMCak88x6qLYa+HrsT3o0OlepxRdTtaY8znrk8M
7eBc2iF5aY0M1SWJ0KdhIk2D5kmoPioBJbKw5KfF+udT9v9rydq/3Z1/Oz8/omxI/tO04adX/3bz
slJBE4g9Cj0+Ewauth8DdEymNqZT9tCcoQ5mde7kn9bXeKmAtyh3qu7/FLnFAF0YHktvlitgNpXO
8B/MG1iG/3Xe4DDfZ+bhqbGHB/nlz/OG2mVz5IzJDhY6YP9GNWHO4tKPKeBCfenRpGrXZDEZxiq7
dHH24mmBvPR2mWrzeJw1FXwYiyywLp1gq5pCZxihVKhGMbz0jPmlf2zraAp3+jiHt/VcezfEttBr
ok/MMGnylI/qeffVk99YQI9BkyQ3ibEMWzb91Yt9OS+GmUDAlUNgvb9aOqu6CdXhYpSRe0xZxVIo
sHIa1CFEB+3du+pgiiyUTF6aZbfhBAwTD3j2PVFHmaEONYfT/TkyOejiy5nXq+PPVQdhVoacia06
Hsk04aTs1aGZMyzN1y2t+qbrDc1aD5cTtqePOunq2OW3Gh0ndRQbaMZBU3A852xLbwBliBdHHd69
BkyCEO55D4PP/Rz6SfuSNmH2LaVYetfZAFpbxEP+F3wD5h0NGvyvsl5exsu9MUifO6RS1wlAymxv
qitm6pbmI7zcO6JnK3zlt2wI8dqRrZqGS/e8DFr1BAE0fqujgkloiAWJ1mmpl1sCKkrYlsj+14lh
NNe4nq6LbgFKn6rwcbOb3Yx2ePQfZFnCj+yipj25UAeIQO/bTmVgpjLdVLTa54Kl8anytC6gHUIM
KjIT8qgiRgU9OegmORW58ZFObsm4u/C/CyAdwZhFyak07BGG5+wi0cH//7kMpXbvZQP401DPPVSs
WubRpIU5ldPElOUZjUdcBUQaRsdyiZqv7kK4sJ13FWGxDHKJrWmHcdbX5aiN+ykmCn0F2JVM6lIb
3TgQ1bwkAdPi+mZxUOgvsMN0C6UnDpVNQ3R6GCxTr4cHDCsEmK+aWhBSuDb1PPxwiZKcnx14DALF
H7uTjbP0kwSfY2DSgycrw/fEQRu+WYSsP91sZOPfS1bBwiQSvnCSHMlTTXJ9Lpajg5N1CNAgtOl6
crA1BHY3oNLXx3AEt+REX1qCmL+4epMkL6GcGFl7GuaZve/NUOSXzIpODD7M22ig5z/KpOn3HjlO
16ZEcG+OxbRA0jTAVJm+M9xV/egeNDiSQV3Gw3oqiXDU8nj5nE29/sZCzf86lH2N/IHS9h3rXPzh
6QymKSA8/zaqh/SUcbVsU5SuOV/YSq7N1lm6zVDmgRm60cBfLC7Y9AKAXU+FoISbjM4BqQQKgvFS
1X+rJz2PCA1NrDPeh/4tQqUPDqEuTDyJs59c0QzqDNiYPcaXyU4OXhVEmxr4iLLQd5YaAtX2IMu9
f5kNtWpMxEzFXSWX2dGgxkixGij9e642NrV/01F+//Llb0xovPa3zbBwaACV8sm3EQX/rsoyAS7A
r1f8FU5XBPE/zdHNX3CFMT7HhCZ0BuZ/zNGRZWECZvAtiGwjxMT6Rx0lqMi/3mssES3eFp5fct+4
2f58rwE1tG0cmEHIoATsYIy7cp00WvlVdqP9aGsk4iCRkNHV4DfOhpYjacEQ0RyuQAlPN7U2mVd5
38nnYtQn/ucQNzB/J0NEJ8LhCZuPXEAq63hZyk9XDmXC0DHlMZuMyko45ER7t0jP/E63El1Nupb0
4AR759QUEF8aJzXPJPNmaz0bh1u20OZTlC09COPJv+7L6ZkkaMT3iu+vsCU9am97+dr4dfG1j/vq
awj1a8sydNpFZo+9y4AEeyXaNCSZKXFQa7mL2b9kOPERXOFTpqiv6hKNJZRf2FrNdONJ+OvrYbb8
Q0HQfZD4oYQUoLOpToaZIduU9rZy2vwXeWeyXDeSZdtfKXtzyNA3gzcBbkte9pRIaQKjJAp9Dwfg
+PpaDkUoI7Iq0izeG1Wl5SDCLIMSjbyAHz9777X98mzo6UDrbIV/Klxgw9wyQAaM2ZhN3NDqNFiM
tKP1T6Jg5XZLI1f6JnOturMoUfvYE+8hIJp155wKThqoOQ8utZO4l0C344NZJWz9V5L8+7jTzRub
q+ebXdrjAV+x2Oveyt5yokrJeDZr4mthCsMRr1kx4rAkUFBA411MDKBcjC6Z6OTFDNj1sYPMTpOW
cTXn+xm+xN7g15FvsxYHBFOkH83eT9eI+yevYD3lMrUz6to6St2AC2vbZV1GtL2xpuxbTEBg+IDj
QfmEsicB24wXUbXrJWs9+9HzqvRV6vrQRAPHcxHGfSffmIjAeRQjdSuNNKBmLhAjyQJ0duKD0l8S
UIl1u+/aTLxkMw6Yo74kTvGUVkHDFT5ZbYSHYB4jYSRrDg+BpMduSmmmhAoJtDbwoTzMnMlDGGAU
cHdZR51ONHitPAO/Mj5C0xqgfNGf+eyZnX8tPEtCe/Bq9ul0UNO/4CzttWrQOtiNAFXj9dWgcP4E
xjOjWCMJpvWHtQ7ixsTBc9evyzLg7jfZr4PUcIa9UUn3Xmb8blgUa+0BmKd14vZWRmVtgb6yG/NL
MmGM6Igrf16UWYJCPHnGU+tc40OKr4iLgJ5Q9oos73FaUOhm/yCs0p0GZcQwWWk9W3mD92BQRg2R
LPDXeL3cMmnLr17vVJe8lfG3rvPrt1bZPRpl/HDb6WIpK8gSL5OzX5SGWoBOugNhh7C6biLrrPRW
lcCbonyTYYt+yF9pprCPYpNpS6XYrs3knqVrG92ZUqHY3K1Wr4wGLSk3jejA3oXmWoYrm5/skNA8
64eo1KhxnVKLKTJbvrlI5Cb+fm+9s5Wu7CiF2Wht+ynI2KGEsVKgjVk6u3acMgWIUhK1N6wuTsIy
H5iVlIjdu6WFsRxl2+vFEOab3M2dDek73mRwfU1HJHGsbWxxFju9W5Rm3mzyebxJ6YtS1Uulrycr
SntleOUrC1mfglqlxCObpkcppXdsncw/Y2epb6x4XU79JuPLTdK3Nnlf36T+mRSuQibDUpuVF8Ac
LHlTrR6zuaW8An5TuY/xZiBwB5G7mF2VscCbV/3F3ewGfZp3z4HyIHSbHWHerAkLPfZpaAjbpl3O
K0TypbWqdb1ZckSeyJ+1hNb5xBNEA8jj70zKYbNveW8MGdmPxLK/i2UU5VVSTLK49zThY/QRLi/L
euhG/Spu5YR5Evy/dyrBnJBG0leoz2XOsi0yq0WfrvH+A1Md9NXMjgkGRbSQLHOWj/7EmgJ6rDNT
Rp7iS/2ymPHoPNR2Xl4B/e+uFlULfvTcNad3SU/t+jAY9UuMo4eqWrvQNVDzGF/2Zmt5+r5g2KN/
LdAM5xsU2vxrQag1UsCT227CDBgKQ+gVn5HMuCLlYFQhW0rXIS9q9ORkY1HVNLCoWsVySPwAMtdq
3OeoBHVYmBVBlJZhzQF/B4Mw6xyQ1yRYypDyIiO/M4YqsEPqHIHB+NMyfHenwBzhCizDQwM81j/1
TQxat+5WE0GnbI0rAgfWuhMkDShJmHvrtW2dmq5zDjSCX62D7ZF9U/Pvs0dQzW1/PWwd3r+/92/l
f0RvhLP55/N732dj00umrF9Aq992CupP+jl6ebS5ofSxzWdpAAHP/TV7uR+w6eFuwIhgQwJgqfBr
pwAHC3OCzZ6f9fpvEsBv23z/A2OSg3vdhoeFAPu3WrxVQvOPljy88GproYAvW4ORy7f9RwfD1Dp2
EuT1vmcZJZCgF9e/szsrEEBWjSk/UKBdlEf4Bd5I0sfSvvvs2uNo0QtnPUkZO1+9pQHlTv8zWN00
zeTHmFd7EBEPFRcROO14Ep0m9QfHLYcD8Zd4SMNFjFOyX0r9pt/UKmspiZolrrwWSsgylKRlNIv9
Xs8rkZg0yz0zTMfE/siOzr0nb+73h9Uwf+i+vIjUdAmi+Jy9SvfCsRTNCyyVPqTjI7uPJ7fIf0xa
YtTXdjwEQ88amCqlPPr7d4z/1SZViw/uXz8cl7ekGf7So6q+9ufjYNPyzJOgQr78i3KE/r5iMz9g
84G1hYrFokzB4X89DgAkFQpSseYs0zOAE/0St1zEssAlIML/bdpgD/9WW6LLDenPz4NHOEUnEsWO
z+Iq8k8W1VFrcWuwsugcvU0iF1DFDQVIGuENKxHFnnemf44TCmvbLiFMCPXwDq28k3ubSeckm1W/
LYKmuDjkjw5TPmboNXGQiHPWBDjPIOMAlVgXxQXDgNESFegD4Ke+k5rV46wTOni0Yibhj3qt6Lt5
PkOsmGL7hkLWhQcH39Oyr2ryeZT5VfUV1OgBtEK/4FJPeqAOhjs/BcInRlpnBFH2XLgIKJcdAGk+
9xM07XIhBiaGqiE5uaYcojP8HUnuzHLvbCYI1Gu9+Q7ATKMDXnD80qGn59B6Mrf8EfTdtWhzaV2k
iAf5DPI+qO+6BCfUXmJTWkEANbMfVX1Xubfp0LrWLVerRUS6RqvysUU47F9LIsLV0UkSd779+0/h
/9AlNpfof/F8he+1eP/L50t97e8rbDCIvM1NovcWq2z1qPxcYROvV1d8tTn2OHFcn1v4byts+vK4
4yuHA+Y4/yeJ5rfjxv1A2B6Zl02nZ7IJwFP+/7PC5kG1deQnjjbdRkRW3/ifDpxcFL1d6XTwCurI
pzy/mbKsHaMKbvg1bheiLLZZfrFGrU52qDJ+s9f4KFqHgMzUAGfJSr8N5JS6yBiDCnoUsJTHMamH
lwU9HcdV3SbDszc4wZteY6aJCMXmBuasJY/Psyj9lNJyWYvDXGlQhkc7YfUFPVqfrtocMiDLsZmu
yV01OasI6x6o9zMCYWP9sJZZ4BtvxLBH/BMn2oIt51qOXbH3qKc5+i3t6Kepd+uzF5TJa1pWnn4l
bWAwyNDxbJ6R9mOVhMpoXMFRRATnkJAmP5e+Wy7HQZtSc28ZeaKC/diD4PW7crop68HrIkaFNY9g
KC/0+SAi69FULEP5xR9JPl7PptDm+7HKchrsITVDkCKrlJ6rsixPIAsoBCCVq2A1G7iGaxAQG9qx
BuI/ml08DUGltdS0IJZGOd3XEC1zD55XoUg4GRR+cqOtWb7OtT6Xuw4PYcRdEmOyz5z5COLbcPd0
tOsIyRtkJ29Wb1+2fovlrYPCw6DfnSvXYvaM26Onj8679C3SX9S8G16Y+05h7X3NwZKck3wBQ6Kl
2dOYBdoPa+pVgwxUmzm0YmSKkIGb3z5gnQcoV/W0D0Zrte6mYXBOJvvmMKCv/WyUSXFv8j47uGi6
/Y6dmEHfngG7pmgIkVe0hcsdt7U8O8g6IRUwwkHfiaEsHoeyWj6JQdMf2SfkX0czzr4T16a6iOW1
/anJBg/zDR+ZQ0Y+7m724vyKQw+PWi/7A83Q7tegG0qo9qyJosQ0SJbTp9jliKtFCtlAPCDtNadE
4MAp0uSj06NDBwbMSqp2yz2NC8lj2hnxDyPorBujN17mbvxW6B0VvkaffiKwlEbN6Lb7WTX65Y7T
nPWhtw+MYsY5b9K3AjcZG12pndbevIWoUN0HVITvZl9+C3K3fFJ/bVB439rEuCE3mOxyBsRD34rs
olXp97h3vnVV+RH/dnHuaXPc+dl67FsjxY5YYil15pyQQj6uyXW5UoNybJd1+YIhpD9SyFVVe1Xi
dT+yzD7nrpxfJvWNQhujyir2xjvHSPJLkbjlqR78G6+snT6cXEIHJkW6gfSnfT3Q9G2b0jRCr+z6
l9w2sJC56TBFLCdElLmQOHLfXvAlEHDnzvyxanNKuDqDJzpYi+JhHgaNOq6aF82azFE6zEmUBMST
tMpKLiWUT3qmluFOpP0LKcks7FuTKuNiotercX3tNUjm+mk0nRtrDuRh8Oclqteu+ZR4bXnQSElD
EYrb/4dB8n/qEcbi9q9HxH0tEvHXRxhf+/uNKdA5uTiobA4sNDPuRb+rsAETHueUYTIqEiDicPvt
CPPYSBMp2kZBgPBI679GROcDkyEHG+tqqJYwUP7WtpoK7n+eEQNbESrBOeEudxSL5k9HGEyIkamn
33UshbnR1IAzUmO9B5kRqBWedk4cB5rRxOL4oVny7GoGIIu4k00XbQi490zmclNjzKU8YBnVloDA
yoXNPV3aNvBUL4dtPaQVWdw1sQ04GUlMKKaw4hf29NiAOs0uQxYEybNZ8caLqBoJMHLLfLwOZMex
1duj9ag5rsvSji0z7k3vEdLkCBvKXt/GkkLXejQxNqZ5MjSHuGEKxbPb5o9I4uzP6U6NksVzo2kk
uSqErxQgjq0d3J71LGP7vbGT9moajexRiM49dmUdXzX0au+TPssfyR27O4MujicCiPXeKir9W1Ja
M2sqfX7AYpyRbKqS+EnbXv/mEHgf/dn1n1ur0M8IV857qg6KmhOjzXg1rIDjAha7g7XnHrdSEQao
5shjLL93q+E/z8Q2DniGcKpnmXGGXCHPQ+Bnr3OhWTc15JVP9Fo0d8LThUQez/0bP/arg9v11iGz
OuvQ+ZxpDTlMFiOr8RFyonPNOpSuOy+DSAf/dt+VdncflAWbli4YrjIdVF1letqJC0E6UAEBQGyu
nPRUg0HY+bFbHWqOgZ1RmPm+8s3hpM7JnUFBII0MnGGeLmmRBa7zCPPcRUyEmCcy/kAG/umO+uLh
tFJHe171AFzYZIw78mvmJ9hr6bfG6K0jqA/7YBWZ82ao6u6MlcJ1B/vykzLoXXnO5J2qRExnZ+v9
nnwqwGcIyWE1NP0l1TvnwIEU7+aZIt9SBuVrW+YmVxXREMfKHCwvdIi7qCIXbemdw7q1kAdZm4Zy
Ylfu00UUWsHAqZQ7OLPAYVeqyjxvKTVPNRQU+oyoO/e25vN1a0H3VCG64dBN2KmS9GHs7FdTFafD
bTZOeJzgdxUuDTl51qTg6SlbZ0BMnjCkL/sx0LuI0Y5SdlXPPlnlcFkdKtsXVd4+5NS4FyuF7v7W
7a4v1LyDAnCfLfrODpqgBH70O/37yhaAfJjxQIGPSMN1SgMMCy5zXK0v94ObtVHqUUcu+xTCTcBH
HTBfsVwlyEgPtTFNX7FL6TufoSm/ZujDGEDw//Bvc5OxeCP+9TFwmyXv/V8eA+prfz8GVIAHVITC
3/kgYn5tCqwPsMWUGYccq+VZjsUt/nczjkFtBP91QLxH7QXUTu3X4gz3n26o/ynrrIN75m/cZGxd
veb/AM4kGMsCA0y5a3r8gzzRn4+BSeJH0Wxe544OHhEI7s0Si7yIHIVPTKDrnEC7glSE3XO2Cs05
JSvAxaSPl9t6DKznXOEYkyGY7itYM80+V7hGW4EbweRO95MA5uii9l056t4elpotfXkTbOssqTZb
WtdleBa7vhY+Ms9mEl+50ORXrfKO95uNfFCOcl72mMt9A5NNOORB6eHv9DCg+5lr3MSbLb3fLOql
6QjiBOqUcZSHvapEfGAPSVmpw3EUKK87+xHypvrQivtMlvIbFiAoOXagpXdN71Ufjc0yj6cT+zx9
Cljp9c1VX/CuAsmA1V7fbPfUXgEJ3sz4M2yBN5M8KuW1m1vfJj3QaMXIAFl6/Y4+Cl5avNrvJ2X6
92KmxCits+WUcD4/Vls+AMwEWQGf/qo2xFJqPvs5+CcF20nPvCQIGoxb6MA0CgIIs8oiaBgYklCo
hAK/ZPeiFiEcx4kWn6ct0UCm2n+wK0BOIS5W56htCYjEzEZKZmbpPqwSFGTYb3kJx8K+IUWO+6Xz
Ev99Inv1NR+y9A1Ws7zpZsadKJ8SwzkuiTvcruZkY+ufdIDxvduoas8tyJG0xfCj2zIeJCDtR731
rZdVRUA4qEmD+NbovrqNobRWFRfpC6cJDmKLkni4o+vI2SIm1JikbzXf7Im6n/6TpvIoSbrQvE3V
VdYwjbdadRZLHFnQUOZjnkNlDk30KZtDELG0kpq8uJhcR97/hbQARwEgONgwJgbWWrP7YGNGLmFq
uRXd8oteNacRlCRNc5tg6yprzV7b1Nx80IYv86bxenPbiB3mEkRgmtzNI1pocUNBow69OuCGhIyq
6m3nTUgeDLZIIWqL2NeTR5kuwZA31Rt7oysdmpYWlyYQpU7jWHIvulKsi028jpWObaWV+clW2nZs
O9VdbvLrELPo/dsZPMrTymLM4uPCKgq4vhLKkd414Labih5XRXWeN2093XR2DemcVPW4WG3oTUqU
5/4vQRrx8zn6pj2QI1kR881N18cVxvRlKLk/kXxGqSqpAK9VjXdok7j+xo25+lbqHc0tYsCEnQV+
wunb0EGUcnO8RUe1iJGUPGjKfpD1jnnrGm56SpQ5IcABP0bkvrIiJMQz9GG5Dla28zZrA+t8bA6J
cjyweMP8QANAHB+XTFuTG/K8GCTqzSxBlG0ivdtaVy7bzTtzs1UMXo7FYlRui6opp/TA28J5ztq5
/oZYiTvDh17en+g0QENKQH7MO6ipeIYMJTNNm+I0b+pTrYQouCxWDrdK6VN4xx3/5K/+8NBhbR+v
EXshbzX2KHm+8FrldxbHKfZ4JYNRPAkYq9zUsWJTyqi0Ne7xlXkBjWQdWlq16WqYIVv9xt/0NrFp
byTU9atpU+SCdUSdc4VVffPaiYrsoZkTlDyIrK6+T7CSENLf5L6YqlmkP8lrsDFr6iodAue4j2vj
CTJx9mSWJOZCmCbvTSuzLITMOjybY9U9mH5XEUhji8b2mLEvueLDX4hI6ujEEUD0DuTPquvldUma
7gAQ1TkZpqxf/CX2vgS4oIJDT6E40qb6myJDtPjECSlHle4kJyl6azlA883PyTwlUFrmdD6TjHA7
Us0xUEoiFLc+0vxXfnz9dYpL47WyRHZLmSUbJX7SOZJJX+zxOeSHwtCniz/N+hkvhPWZ1sv8YK7z
8uCKQcfMbZd0BdLe89Ssa7NjfmpKAAF6fpBpPh4ne24fRbrOB6oYOwwsve5cCD21Gu96c/7qLOV6
PRQo6UY8OJeqkGBM2HK9loVX3c6pH3zSW9EFh9gygvpiOprInuq1aBYS+pO1Xhns1kBIS42XlSb6
6Zs2W0zNWDqW5uJSVvc14ed8y3PePo6+cNTAZgavDf4DnZ/4DN+r0My5PBqTmA5oyjY9HC1ysiQH
7kWlVZjDLe2rlXN2OZphJfJz1PeBG1vXwq4H2r0hU0S+a5GTHQx9eWOTj2CPkMdVbNJlYnDdaCUb
IWBmD7pWUSrqcqO4GKwpPxeAjJZdlnrlR99OW+ukVZgycxyXZTTbS/M4ptbyY83YguwTf12vTZMW
ZKx0calFeZpkMuJfQSS7Gy7ZTqRRXRcbS7lTWGV8ohCWvXyCthwr8HIBj81AjjAYQjYyc75RmuHM
iGMOufl//2iK/drzVNnwXw+md4mo/+tc+usLf9evFKiMkgymTkdd6Rn7fi4nCGAFuNeUMPsTVvaP
qdT7QCqL1TlId9W8AGvl11TqfsAZbqDx4qNjXgWy8nemUkOBXP44lbJf1w3HVX49JS077j8JWNW8
sEXu8apBgnjMOg8aFTXA6a5xNf+jlwf22+LE3+g0QKMtm8wkzez39s3gkx8Ol0QzzCjPtUEPR8P5
MWVG+76ugUZnS7bEDABagYGI/k9AZtwUpQoBRlSfCXnRSFsH162LY+agW8i8YY0E8JkwWDHvAqeM
IcGWBG5OQ99zMvUyj+OoIAVHj73tgxpfzT6AkuUgtuXOzBvQjH0gGQ3Rq343Eowj8mr4wzfmN/mj
qkfxNPDocwXXCv0pSEc32BMISq65addc78ah0g4gArv2iicMiwXqBm6+2Zp1srqZ8r3mrWv3lyw3
V0JnNkU2TmvJpzRPrQRXR5/e2IPnwrv18AHu0rgSvIGSjhKyZpF3dOMMOyxsEn+zY3b5Q7J004hY
lycva2YlD1YyO1+asbc8Djex3pNp5xAcpUFvpk1l/XfUt/HVpTT1sz/SYzno5kTUl8039UiVR5dy
FoxMRytXoTANPHLG7gJyf2hc6R+X2ab8pC7r4iPG5cHcYyA2vgi/D4pDLrXg6GAxf0wwgj2ZcT18
ioMhHU94xdM1DArKjCLPZ1iM3IwxnGRZbeEDErjhQ/L+NKk7YNn48xe82+TlWFQzAOvMD47wnnBz
g7i1C2Gu1wlxYrmvgXEt6O2y5jg34Lnbcwk/jb5I1W4x4547BaztPTou8tWmT4XMAWtdvHDHbukJ
pTWl35mUzTYY0oAcaCmNbJN7W5mT8Zw3BgC4jsSSEXZLbYAOgnmc8obH676DcpryQcKXlIeOCO7w
mNUiSpTbbjfnAORJFAXzNzq1S8qMh7R51x2DOXd07dSNlGXqUCnpcxZku3ZN6qOI8tlBHV2KLhEM
t3COgaSXHTZypaV63uSKvdMKRVGho/kpFcZyy+IbDRaAwvDZXab6qtw0Woh/Hnrtpt1iWHJuACRT
Z7tpu+am806b5utt+i+/PLTgeVwaHtpKmiJsN7043bTjlZSLgE2gNGVbycu5Epo7t9FvE2ug1RPK
qNw7SpI2N3Wa7fWlUYI1qWe0a+6HPFqOkrTbn+p2Zjk9fnRV5Y35wnvvAmZLgzzdlTQdS+z/958a
v7l5FPjjX5wb9b9goqsv/XlygCzR1TIbKZVWOttRm46fJweeCN/0cD641IEAwPxDCybuIUc3ORtc
crgqkPQP54PzgTUHrgfODrwFjCJ/i86ldNc/bDOodoK6bppox8HP6PGftxnaYBdLAfRBjGN51Vv5
crLURyKlgKTbrXwTDlzfidTBH35S9z//gv/gEnjfZChk//f/sMr5578YeAr5KGNzM7GjZ2//R0G4
Rpju6USIDA/LARnJDldPamOaLXPiQTeUvVHBXcVJ/yDdDiBdTZKFUrGyyB/YjnN97xP3qdd0+0Wa
OivDrq7lJ3PwM58qcz1/43I/EglujHTepc1Uf6cfaV53GU2bcRgPBphizefeJlzePrtezm6vzj5H
nMdsaq/98ZNTTLrZoeHKFJ4CIZ3LCJZiCJMUxi6LkaZ+0UhO/vBnwAM7oMmvNunUo8V2qAkTaQOn
NiadDHSV0OC7Sw3Jjr2VqzFCM1vdDpOkPtQROCHQMVTZuXfEuyiLwgXeinDmB/AptrTl0eQOuuzS
VZRwBTmk16ju10ZGtQ+vj1xszxaoTgQgI2l85ismLoTqZbtK/0LbUHdqU9ADLSbN627K7CYqJiN7
kcKQ97ZovVcm9OUrHAcSVJaJ44rNL9v8oyNMA8kWozkNfgDktXTp8E3jxSXCOBDyxd1s30Pn9Jrd
6OCHD7Egl22k4118QillUcu2y2sFP++hWzQ4HCyFKnLMMFRPGvsR6wTQd2luu6Du0E2koekHRNJo
yaqi3sP9ylAN8V4/zVY+1td53bCRRZ7JnzPO53HP+xuv+RTTHqesMFaIfbe/xJWUApaYmwE4idMi
jzLdoX/cSoGz7s10jKejNQb214y1/1nzjCmmeRpGeJhQd26E+rPfeF0AxZ07WJEMDCrdNrSwQq6y
KBunkfCwFfvxoczHfN4hmNufqbFkuYxCyRhEnpuRqNdJNF2o6GNUMqV1xhDIy3obpMpaBHjUtwEL
Xn77Lhi6cPwzfgVGwSg2bmNZRx7tJh0MhrViG9xmRjhXzXLIuf5H6PaAxXQg3IBw6uyxtKf0PGAO
oDBj4XFnOQfe/WlZZJnzfXj08LTrIsrzv8373WRL/C/e78N/dy/47WhQX/rz/U6zBWtpgA2KOaVs
aozmv7/fuRfwYmf8Nwm/qDf17/tq/wO3CbyXmNfYW9NIwRf9ct7wVsWpw7IVvqZadf+dmwGZnj+/
aBksmOhcduZopwbbc7XP/kPRE5u2MrZwPw5MkQ8jbe6sPHIeZ0/Ep7FY431SDlD4heeFKQ5uxovE
vIDMzQ9xkcOBWcxbDB4dMHM0wU44w4MFcAlnHMG0wI1aLzjAA9aYijp3MXkeZyN5I3gKZD5NSC9P
i/mE8+cLXCXaymJ6jwyrA1qFU75MCxxubLBDVxrGzp4Df0cQxt+lHUvkVZvXk0565LZmSoygNxr7
tcFGSiZyfaR51bnnJdPegb45dIb2XvmV0ibr5Yhlrv0US/zpcQ4CKwKmk0S6lzz7tM6ba7qe4zqP
7/ocWBAlDEpWHOPDuhrBvm7SfT7r8WGaWOI0qzaczNLIrvoVYuXSCQjxQZtbYaF8DdmUWx8zVhdr
2JKUS/dBb3g3ImlZYHmav5tJQJw6jY277bZVdTC6kUMhCJovREa1K9fF9STixd814Iw/W4tVETgy
6z2EXUHMlzTFKtovrJK742pZV1PQyyjI6glq7aAfrWalpq9sBmeXTK24Ee3cXwr03iKc6s7eO7Rc
hX3mTJ/1zsjOeMX1KzrUzbPprV841CSVDXE/X3MtwIhuUGcAG7J7zmb7pk2rh3ietX2dNFRXQ4GI
Fmvi7yEo1Knf8DvunmAHcU8nVGkaL6KiAsltTY9mwtW8xPE6nTzM/ruUCMc1glx5cW05nVr8J/Ql
ruKFoL9DYsTXj4Arnr1sTvbT4D8TNKpOSTE81gn1rWvp93f8zdiOqjXZjcvM/j8O8kPHKuR2CFjo
C0AeX+yEyC8x/rCH4ExhqnFca5HdtO4cf6If1Xool0S/WLZmQO+vx5Pb0im5Vq194kkEODF53mEV
iDqrv/SUO+nzDnm5p+QofxMLsOw+1trv3AGbPpQoUJHR8mGcASdda7Mbv+b0EoyIiD+8buiuCuKn
kYTjdNYQAO6npHWwiC5DVPKzSUIe0nFPTlZ/EnbFb8zv5S1k/uZ6XcwRFzYJX9vTtZC1tE01Fezv
EOdUFzktp3CZstTz3U678mfaqXAsLM/ATvtdM9vo8WnpvMPiKB/zYX7I5nQht8aNUvNaO2yW5MnT
vBcIc9ZtMkvxWK26yx7N8+mQhGMyBI194TGnCML15uCG7TlRYJphDrBKyGrKsjlO6BYR1TQUnDiU
Z8ps/dwsWIRy15pZRFGerSWVho3VsO8LqfehCNgo92Bldv1MRq+e+te88YejzrMBkVQU57WfVmJb
6/fCB9M98UcHXvxFxqqsgRVdlbLipn2AfUHmot0QmIMKmaaRNs7DsyfLmngwH0MA83BenLU+wYlk
5gOVtEcprnc40TD8yBGT4LRm54UI2S3zwrDLHC5cK3uGUPII74ol+W7PWKOko58EMZxzba7Fzisx
RNBadKGH4weIbH4lC3qaXmCf02S6q1vtB61Ht2jUU1jUZkLebzaUW4k36lJozwu/zJ3rCufgsRD4
Hjt+fG8U3XRqBoyLujVfr118aCnCZAq0kgNNm1VEv1kV6SYvr7oqrrNu1U3WoJOMYNUOp7yR5m4G
fUbeShgoUU2l3cxdYOxd2TOe9y+CirWKKx3oHL5oDMrruZXyqq9JlgPx3kPHoM0lW5N/AxcTqz70
5H9915P/DYj519f9viJ0uOBRdIADVyfXSuv4P1aEcClNGE06LnbDMP4xCAQfuAGpmxfVtz8JE78G
AQ/WJVc8BgG+DmMv1qa/IVwzB//zIMD3xN+EdM1U8V/Ttk1aj05vwuDvguJmBYcCE8+EEwf2r3Qf
mH1jYOq9ZMHS5d7B1cfsR9CV1U5DmznQzJEfHBY0UaNxOg7Z3EcYVMl9x0Z88cTC5QR+5bhSWOLx
kJkmtdq4ZwroedBtMLT4w7OTJdWPQD3KtXqorbovX+zCqk5+UgMvy7AqXhkjMMFiSjjcyXdW0Jna
9dj6cX0I9MTb5+olZKnXUTNgA+CGqF5Xo3pz1YVn39EGiCo9UjnxsR87mBGaL74WvAzpMkhi6ql4
S8IDAA3ky7x60mdt2iKbA1jawu1+JJ3eXOv4AW8Lr8i9kJtbvO7znOXlPo8D5EnblWO7y1bfjSBm
ciAErHzaqO0qGivbwGw+S3WwODIDVs87Rb/UZWo/sL6JP01uwPmZ+piRWg/V8ZjT45BdDRO3J262
69WSU2nwuHLLo+lP9vYcia4v6G3gJWJY58ZEVYjWro0VC0AWxb6rWNaiXdjF9STa4rrBsfKtcyU6
79KL5i2BGmOdqgm/14s1YZO76VuXFm47aF1IOhlG1xCLqsd7u/TbPMT10Db7IhvMgK6AXNdFOGXW
vH43qMISN1oxtSu84Qookgu9/AFeSHGtaWXdn0f2VcGV3eJkfnEayyxPsqLxxZVidHeOpOvLIebL
/LPY8rqjBv1z42FNnju/2bm1Xr7Ldp7OOTbsa4vIa0RZ14Plc9OXvWiv1tUvXjH1uGcjRxYMnV6Y
n4VjDc6hS2bIRhrGAI7HycRczAeRkyZe9jyNyXejLAAQ24VxxbKvIRuMvYdNZdJ0DCDIXDLF0bXK
KdtTjdmelywwGDqc5n1yRvaNlBSZN4VYA3ZmzXxvsPKjnJlvZBK9F3E3T09zMU57mYyYmeslZ46K
zXPL8Q1jb/H8z7U1PcyZdsPJ3+dUhnj0Mq+0+HQGF2FdkmBdmEnmpd1LoNN3Mp37Xe22p3wutbuS
IyyZtTcE/duReqsjAX3jEzPwQwPIrI4q1/yYWrZHFaTe73UAF8/FpLa6Q/MDaEyyWzXLCmNZsFvV
smk5SHf9DEUeC0I9fLeTxfyqjeNp+660momDPRWGtlw6hzlYyI4X7Sf1H6Tj/JBrxme2kcTPrVIc
XMw5h7hLvXPc2/nRiylWm636QtFT/9h5Q3KijM89GL7Ud2bXPUxpYzFTlQKBy7NuoHatYVkWt3Su
3JZmlx6abPpeW8Al48a2zq2f3IqM6TB0avPKJgodOevMRNAx0dEFVZaHOMuma5+qtYvR4VUkT+y/
OX1lfK77bnzgySAuWZlLtJBWFqVOI5M7mu9ut677GZfO49jqnNZ5Gt81pJpP7JWf/pO881qOG8m6
9av88d9DB96ciJmIKU8jelLmBkEneI+Ee/rzJUiqyW5J0z3VFzwxvJnoochioYDMnXuv9S3Navwd
bAt3xTr+qUmm+Jz+O2a0Ub0BGf/RUoedI39BQHgRQgwcNwUJYSh4AuOmzul1W+zH8j/aOD8ZyJM4
zEXNMQgGwDrjjLYzwgoNoBJjM9CQrdvCRITuSSoBspDQ8R/gtHDjiPSkjTHkmYqfHoHBG6/pIJAw
jnV+ZWKQI9xUPYfsRn5mpwabWHMeRgnSMqLIuMoqoVyAok8xpTfmFvvvl7zxXbGF1MPHZxkB6YV+
tetScKlD4n21K4/zGDOIZZYlDvPs4CTuzLOY2e42Z9CB3X2UTRoJNCFwnOisoavWdUY87xB8BT5C
zBbZoPUUDuZCUQd7GTVWsypoem19UzkftbQnBKcfoOz04ZWR0eXW4bkf5hgDcUWEpobkIHcovi2C
qrymo5/FR5+aNYHa/z0di19OMs/S2/bx9udaazkHfapVIHnYcK00JM1op01mmi+1ivvBojGB1tp1
IEfayNy+Ny34IeKA+CF6HK5Lagu/7rlp4WLHcwxmnBwWPDohf8mdynr1tlShZWJRS1GlAOTiADYn
SrzqWaCzLh05x3MYwGQbXYLn2Z6D0FjIcGOaeZZXOUedxcOKIa6vkvMoJ+X2MKf8fUBGUUWnNrN2
ugl2T16yl5syttcqN7Akqm/qKMZrmBVehj1kGk+FitFn4caAGjFdF+4n4ebitKuDy9BsiQ+GKHXv
+9jM1x2xLl+VuMrP2rLVjjIzzO/jxtfOUTU0DzXCkWaT2yqpOKrqC/2kl+1MBHC6WMdo0/w13bo4
P0BGoGTbKqnVYmcYA33qysGms5jGOM0PdAs298Km9W0dll0mvg4u3pgVwt9uOjFLmnx+3ZrGzkIM
dRE2DiiOoTWvTXyBn12NqALiTEOVqdjo9vUiUs1KWSOMEtdtqU2Hha8FOt/zGfbFitODvmDLAkEI
fjxnsR8r1B1G4UYnfuiA2UCqYrBnKnkVH4Sjd2hlFiRIJwzoZPhgW0x2YtsUR5y+JtLewIaLxViF
XnSVJZH/ydZx8YRtW183GKUU8Oa98uj6mrdrpFh3GXCwrlaVD/aaE1PxraAkSRbI4oCRQx5zd5YF
H4Xgjya8JpousFZ2mrdbI6vKbDnpErtcudLDBE3JOycoJ7ycJAXdlzx0pwrbyyCPgaSnMzB9nCwJ
UHJCQOpAlsTOnHoSQnWjOEU6qp0qhoSvlzOIvbcklB2tBohQI4LV3tt6ddjMAHd2WfARoeS6q77b
KCd9TOvDIAXxOPfBl6yAadhnmq0PHIrHxuBG85L6rkb1j1u67PzjsbYV41g4tv9x8jWyKf2MwJ6F
6Xa5CVvYVI6hcXnOAoBiy67gVb3MJEg1CKldv05VtTxOkP6d8jEYAqd0yiIKDQbWmskgHCuAF4CV
cYjR+5Iwd1ibnUG9z4kwfOzTWt3QLfTXji6tNwg5xW0gaIhVtRns8skP1oxAoXE5aSa+pKR/0mdy
M0Vb6ym8aJ9s+uZAUeqWMSRFKw+jbxeAeSbHPf3vWalZUX/eW766rW/vfhCE8NJd5oefF2rtA64Y
uR7bNH08U/pbnrrLnBwxaHIPoDFBpYrR7PtCTeYelhdOBKzVFisp5uiXhdompk+eKIEG29CEHXjB
f+VQKaOF3swPiVrg0OuyRsMHZSORpplXK3Vjq2hyNW2jBp1OhC1gjjO0X+EF4G/rkplWQ9POktn2
qKl0RFBd+20om2qh+q22JZ4tu6hz9Fnk+pjrqLA1bJouYTa5In8n0KMvurG1A7SBPHeHo4FxrCZy
oR8Smk12eS/YqM7jTKct2n4eazSpfbg1tfLIca5ZSJjNuOmxEhvmIi9VPBhV2V5QVHUrDmrkB5D2
eqXXmbnNgphmK3ldR2FriIuIvuNjGAtu6yyo1buW9K7IqUEYJRNN7F4TH+n0aNFChDkrQ5eGbbbQ
ArO75EiYfBQVYeq0ZLKTybamcweLnuzbgi+N7tJEUY/yquSsFbmxtdRFpyFVqOLPgjy/BDGFVgCI
8tT60fXAkbSeaI+spq8uLa9FuMCuvgs72XiK3LZatYRC7CwjSa9SMeUbrLcrFoBVGKvpLmorrcYl
SKTZYmiTbGWo0AAN0TeE3o3lERtBcezh7Tvr3GD4NJWUgPB01UOa0A1FtwNsMlfb8lyRmh2TpMNL
BJr+GtHr8NUNCGbRHBHc6pXtJAvbjlBWauS7r0RTShpSQ6oNvXq3eBgAeW16vdK/kh0QfeIQ1pB2
g1d0WJus9FL4Ew/XqWH5ykIXqe4vheLYHHop1+NN3yqc421RHvegdtZlTFJNivR5WQG+3rb4Li8s
JXW2/dSl1zWAHLb9ITLglSfBqZUIp/8Y0Av/ZpBpvBK+GhyFTVveA8hPIwixyKU9oppIXDqrNWLr
GD4oWc02o6F9TAhZ496pgjTbmJHeIDDy4bIQUc97q70qJAtbjxzrqisV80CoQ6dsAfAapKC2GpL3
qs7EloSTOli7ISsk3kfslYvAgCRGNJ2trEjgyN0TVlvu+hjd3rcO2tNdbmXf1L4fS/yZASJUc+qi
8w5DQnKUN3l+D0pA+zTo+OnXvShN7xATd3jpqRED66kW2kmtey1PGXiCZSRM5dY1aXYuSXMK/BWR
guO6AA0H3t3R4mzdtjSJt4bau91hNRcxhaxnOqYy58IYs/tGVjtOpGRnQlZA3lwMITZ37gNZIQlK
pXaumSLH+eTMhZSvD/R+cC+PpwQQu3iKzZAjTN9U31KcReXGMVUam06ou6uybIro1Oni+qESA8qt
KlXi8zgsNco7bQqdI+K52ZSXTkJgEGUHyNNFB8KMD2XedUy0s2KTOzH5Hr1axrh54pCkrVRB2+NP
iftVsENeaV6HBDfxRqtYUGkB6E1aNLSLrNCxWlvDUCqHVeWYCExrCeLCzw0HH6ZUcRq4WL/juvQP
mgbiKEWTUhnfstknTho15jufxkWwQoYvzeSuWab5Lk0RpzWz1RyoG7Zz+A2Z2JiK6oQwgmBOAqWu
sakHZU4/zBn0bpsblYdWL/LrKw5FU74qVav+1CKBuBg0VNXHbibNeVQP4T3S+aZZMvPwjY2T5JjR
kTnTkULTiiy9MbrN1DBwoAt+X8RBTBtZVz8boXuec4dTUDMyp9vzuU1BcU3Kx8C0LJiojM0EwxOd
Qnsxaqj18eTG3mrqVG/rkTbuL+KpUk5Mh3iAzqA+77uBY6BXWTy3adoPPCOGf+nR1l95SjJtrTFP
L5yuEYcD8sV6oVPokc3biOlQB8Z+GBhionhKnfygjps636Zkm6wD9GB4E7RhNZRT/ZGuIdntRUqf
sGj64XMecJzdZA3B1lQ7REceJ0VuLt0mpSeRoK9Yll1MNpNIswOIozorOY99+rGKmuouqA19WNhJ
RPoizzZWlSqxvmD0/eYUAlZq2psen0Rb7arYcnZxa7bHdJFa5HejdYb+f7wZ/Fo9SktPkHhFAugq
7qOeJJIJrPqSTzljP/B7KSR3tHSTj/qwQzJdBUuONhpI1z6ol11fKcyT2jQNVpgInQsmM/GyDApp
9iCuAq1eGxIDFDUaKgO2mBvDzLu7qhXV1nZEEfz3nIvNX1Zb67siH3/Oy5Q//FRtSciSSTseJgbT
GQ60lDNP1ZakaHDk9TBBIbpyJb6G7lYb/uN/wTmh6pr/Tzmsl2Sml2LL+mBThkn6JkFVtN6tv+ZA
lia2N8UWagGKOkdmXGlymE/F97rYsp12xKNZr8pI+dYLBm51nkY3oR6qMIiD8AZgUo8syCCrQ7fv
lSK6tmv7IxPlXTb0H43cIfnUZO2y0k+jUcmgp64Vq7IFaN5ppPUoRTucZrmzZWjIASlsUeqHbr/W
CSVcKob71dcRRYLp/FST2LfKgnKg4+N+7Nmu1olVhsdAN4mAAvq6iHU94SwSfDIJIV91SG53k5F2
q0zFeBMBN95YbLB0fgYPiECLkIeg3Jk9MKqVuhkHWPiWHypLGAnTSYEg4cTUOYoRlzes9Lw6yxpV
WMsYndqGrqix1uJQ4JrJgyNI18wJVY0k1ZG/BGNBt1NdHcqDYzK9rlLOPM146zPXoK1nDas+LaNN
p0baZdrCocOBxihVGOqRB279oDeB/xI4M20x2zQbQCDWsS/K6d7qyvjOTi2gPlZquniQPOtrlRXD
CjC/smKvsi6dxEPQi1DrY+RZ3TmwRMzhFpPqyS7yixLPAcCeQtvS9Vq1pv65irxztYOtOOUPLVNb
2JvJWeYqFQmsCIyIja0WSsTSUCWohTSWLpv31ITGXVKXw3IyzGalIUanMDSUncHsgHNrZJDXXuuE
BjBPVHPGkW5GLrJiMxOPGJ0WwkO2ME53bljchbg2FlqtE8GVI+KtBosfpsDDGVEvmUoS3W4bp7EM
n6r7ZKBNx7k1rtBlWCU81MiJVeiazmEdliMs7DFb1m1kLQhMijd26T7aiXYTp9nlNAEDQUO7gfAM
6HIgRBjxHi1EJTz21dFdGLZyj7bmQBAEUTt2t2bA9rXTus+l3ntH8DhJBA67duHDWp06BluNXYmd
VZflzdAGpw6oUnJujLveDL9YrfFFMbKLDCEmcyry+xLTFDvDTspFqmu4KZ3+szUOJAHhQxuLLNm0
6MgOdN36XDiNChfVI1yIjZar5jINa++QojAY95hBdV2qHkXctUel6KIHetfaxug1YjFQSmw60Ifk
65bKJiR0Z1mREwHXkInvZAuASVkW06iuvIveyZpNlfLdKB+HL3Zs6wu069qSgoMGfueH4lDPbH9c
uZ3uHtdmoWw4kEE3AWlI/Ch/OLuoJJ+Q7ghA3YKGQr6ju0ijXj+ZZgxAKYkAk2/RRubUeFiZrXHh
zuiAVFIExAwU0Ga4QCg5A6bXghzggbfZ80v/Uyx6rHKjpBPUYYYz1JbMAhibxhaWUH2N2lomQDrQ
EGPkTfEC6OHwsTaMYN3Eljg2nWHa0W6KDqEHxOeArQEmGJKdwFrsMeqHp+AxfjkZM8smMgJ3NXAb
e41FD8u1Jd3XhfRhV6le79pxOCv0Oj5yDGtESMrzsQuiaADXHkUnGSF2qDusdm0N8be66kHBJ2Xo
BqtgMhQfGUfSX7JG9JcubZxdpfrmjZGZ1pFldspOmKJZZUzV1i0c1sMCQNHnWLTmDczc+/+eHgfN
iJ/3OL7eZt9oc/zRWvPS5OCnn7ZdB+I0nWYPhRy772vLt/nB5XSEGVzXYA0CscJ287zvagajcx1s
G21ndmU23u/7Lo1q1HaIri30eI5FbMJfaXLwt7zdd0k+orONTJojEb1oRHlv9922ThrwzIABsG+S
chvbhL9h2nA7IhHIhOttQAYLnXOWt+CARWxcCD3xMNPJknMJrRX0ReBBWL5N1qIB5ciKI+0LtTtQ
WglsPuzmgDq/9jqgoah4HxNAweDckKcFTFXQmbT1MZ60ZpsZqrOrZPqd21kjiYgyEy+sPefIzV3z
zCMmLFiFegzcI/DAUnkyUy/0hG4u+0ZLiNqTrPZcUtuBoZq6VNoBcydyXnyhgjVPqhn2noF9x23P
SK11VYcIpBkMj6gMSLw38+IT0tNQ12WcTx21WfuSLB/pEjKPflXdBIkZfwTF7J+5VMcezYMoui0Z
E31tZ1y9lSX+PVlH1UOAvulbm9P50NQUA4clWfdt7xwwpICXxCHAWJozFt+UhHy1aa1juK7tzuzD
IjsyJEuftTH86M+AfW+G7SvznMqdIfyN5PELSebnnCRj0SSuP8V7rK9iZvQxQQAIF5esyMqNFo/i
YJqR/4ak/2NCdU4IpogOvKLNLzkmNsuIKMedKvjM16Inf6lctPjuky3QKjKGYy1tLjLHyb5FTgnE
iZGaeIzmZGK676QUCxlYTE++I2sTpp+n6d7HQgYboxtXtqj1sU6nc/IxoKkW0B9xyHHUZ+tokBnJ
Je3gK1ZxA5afDFEGWKJeweSTfYuxm9K7qErc+9Bq1eMaZqdOPKEgBdrXqAIWWY1A8QD1Oozwxhdk
OFPxFe2mCQPj25jn4ZUnk56LOfS5dqeebMQA2y4ekoBGMVMS/Tx2MlVsEPgRHe00pEgnc6A0uub4
uusJ8V10jWVT9+A4WEQyh9oWE5HU4zTBTa7nqOpwTq3utFBZkcTY50tlDrZGfqqegZYi7lr4ODa3
+ZQnn7h4+EuB5cKd8p+Cslt7co/LrCRAm15DZfL2hvrQnyO2Bbb5YoN0jehttSr8GtMVIBuaHoVL
383u4iUvTGg3aPEQuIvM8m7D0D8LBvhsqxADqnuIJzW44BatOa8RXvTQIY7YoT+pl/4cFh5wVNi5
AzxtUJA441RJ2Y5n4Daq1VFfVjOIW0dPf6pLOnfkZf63WBK7O7NLkEpKjrcxI71bSfcOjaI8qk0T
5Lcr6d9ZUOAbZ+DgHrE9ZlfDIEHh6PW069qBHj4yrofjMEPFOyxPtOtso/jCzRWfiBlArgkJI29n
MDkRn+2yn3HlwYwun4YZYz4jzUuefTADYQlcHOK5NcPPUeICQjdtZJRgfCYQ92Fg0T2zHJa02ASP
gqUZmDog2eAz+FvQAdETRmBGCrTABawZM5DMyIHYdHOaKk139l+zdxpsVz/fO09uG7bO/uebp/zx
p82TZj/9f/xAcB+xoc5zgKczq/2BvdGmKmbA+tzrf9k8yRqkNGXvZFPTPOzL3/dOnEcwWDEXGbQE
dU0yV//CgACDzNu9U45y5eTCAMDFwVrSV96cWSOYGeQ4mGuGVc0SUadxJ7Q4v+6tqD4rReMdwxhn
AIBDiRSvTqElQ/ndDDSRQC7o69KKEXQr7DwHyUxONJ4wiubMVDT6dtQPKuyOJVpSyV20JYJRzDDG
mcvoNpnNQaEnbuig81rHO8rnZl86N/5yx6EJaBgwvRtRKTjcZZtQBJP7dSKJbqRpWdJGnDuK2dxd
xPiOOVVuHOhQvFxxl1PsEKbD6ZihmCHnY22BJg48jCNQ6soJGnySQV1OAIXWtZywhXLWljOQvKXa
YF3lVO2vEdCpm6zUg0drHtWlcmrXtV3yxSsH40td+wTfhW57wq+3UuJ35cQvnKd/Kkz500yOBJVI
69et0WknmiWak1630rXhFvoWDTKZCkzOj8gywvHbcJr7WHjwVdCA1WQGwIHkXwgi05cBPcO1Fab9
idmW9AxwLKFzdghtq9CzaeEJoWr1nTOPNcO8HyHsyWlnMQ8+TTkDHeQ01B401HK6FyJrSpoxIxg7
kU4nJR/dr4Fa1FchB91sG2UugaLuHC5aWzJotKk88U3kPoqxZvSCBJkPCL/VULCJb8CLpmJXjqJC
jxhZRk4ygGOWn+CYEusYYrbwVgxcqm0gBlJQTYr9BW1kEaxJmXHKbNHOWGob+Vh05BCVxAkyJ1+Z
Xr3WWXclVuLoWolCq6/IWRywQZi+lOEYjilOfLwNLtlDWUx+NzIyZp+dryIHR8twyrgqe2AwMSos
/zozr9qJHZkookZ35gRHHuGTnm+yasxpPDui1raCsgkmaOJWGsEUwoni2zBhhL+aEs9qvwx6TDSd
n3sk4Xl64J0DnYL02c3UT2cmgPpt1WmXSud4zabUvPjzf88CS3fs5wvsYRT8cnnlh58HsChlVF11
SIbT6OXRH3hpCULPxVrDycDUNSQclmzH/XY2wXbDiQZ3p0sFJ5m7z0oZziaIbrAKMbk1TRbtv7K8
smi/XV5/C2XlrMORXfYlX7cE40L6VPr4oOpysHOUWkvPKRnM4b9Zxi5286UdFOgBfNftVpjAjYSZ
ltc9TL6tFCs/7rxv2A7qC7Xp7RN6gBDgCK04IO48X8G09w/ooujXcdt7J0JtRM+UBB5qMmnTSsuC
k6JyETn2td83R66T5WdAZ9t0S7smHIHAwSRGU+kqN6lNRwcTRw/ghd48mp5+wOpI10b9imXxuta8
oFjWdVPdVlkZfSaDol0mUUi/JTLa5ogG1XRg2F1x4oDVyde5Wnf5omxoAXAm6y5E0rswfJoYwJwm
ohjmrmPqSyUnSHntBPVYricyQK7FIONpXKN0H1jflZ1bZOVFBLoeIwm8xQ3+iOIm0apavdE6Y2g2
Qzu45uWI9/CWlS5HZFuF+gaZyLDUIeDjj9KQv6xhBAfSmT0o9DyQrIwUc0OnLgRIhTvfGW+cfCJk
nfb9Te2Q/7CInAraaJUafs8hzkhXJLmY0bI0tYwE7rorDv2WZuZyhOeMERd/T3LA+SGyPpadYZ5Z
5piv3QJWiReX6TXakfLM9/qsXZterH1mSfU29qBW5Spz8X7R46FCxM5xSIyKfm8XkfmJiDdS1tKB
TMyFEUSuibsnHG4JSLR3QxH0wSZkqnIqzKQ+Y4+nF2Z52QWZGcVpHijuvd0b5nVpEgzEkcqU0TUC
xHlkiZsgAnizqGgFHzPoMq8si17SotaRRdlNrx9mXs8BoeEssMA1G1sMYsb8nhC07lCxWihJTchz
tx5EWTsoxduCAbFRo2IstJzTVmYZB3YTqldmXHnXqtC0S3zvXc1AdqxIFqxT4esXQVi347EqE+d6
3CJ4VLs8udHtuibM12mdiBnuwB+vknlNAS8T7PJEhN+KOdaubrAAEXHCGEym3pky/y6RSXitzMQT
XDtjmdRotlY6Oh0U3QMBeh3D0ftSRusFXiSAnLUoOWE1DBYG1YDRe+2NmK6aqR7WaplK/U1lJ9tE
Jvdxz8oQP+L8hHCq42aO+CNfNKfBTu4f4CYZejfHAZKhE3wZZUZgJNMCWYcIDnQxRG3QWCe7QBPd
USazboc59hZqCBG4zE1ptjcyGbeDF/CZSFz3Gv2xcc19aprbIXaJ083aFmCWb4fOKs6cgpBBpvPn
QqbwxmbUnxiZaz0gZQIzEZDWS8wKub29Fl+HOl7YhYhacn3niN8otsXpKHN/W8fMzhWNLGCHJ+UU
Q69+ksGXPqwL+CKdjA8mIS87I5LEPR1kuHAPsOUgiZGZeX1TfiO8RV0lMo6YRDD/iyMjikVDkGut
0WwhabX3z8WcZpx0tjocCTKOAT/129CIQUzYMgI5n9OQtTDWjgdcewD30BV/KuPWus9lhLKQYcqT
jFXWw74XC7T8ybUSytzlOMh1gJZIzx6GwYQsaTKyX9ApzHc1Tl9tY4WqfZ4GMXnOPtd+STOo9xal
75rnCQAGQrJ6t3xk/Gt/g7xs3E4JIdEq4ohzFIH6CRk2eK8UYMkQ7jRbkIAhU6bDuugPJxk9rcoQ
agy+w0kyJ1NHIKuY/8m8aoPy46M7p1gbAYHWPNgUQbmYsLf1MblaoUABtgJsAhDPr7wj0jhIx7Yz
ogjbjsjshhKKKnfClndGt8AU25S2w0UfRSPmLgr6s5CpNC1zBME3bU4QIfocvNgajwX/oHAChA15
BtGzjkyeI0I9jXrlVKI/0UZbR0zOefBS8Y1+rXhTfZaSF3qOIVmq1QyhGGsvgFy3KijhHtrWMuB/
hq123EZpQIwZEA37wIn4kXBs1Qf8pN4ziOD/3A//N3gsnkkEzXyCuS/KsY6CsP3df/7z/1fq8i8d
S9siu3v8ae9VBlw81zcaEbfwiVTarNiE4Su/1DdUKsjNqF50h5boU8DtS32jfeAbWNqZe1quTr7t
S3njfYC8+HYa+heOj7rH3/Vm5OnyJ0GocHTpl9Zo6v6uvmEnS2oa8k5sOOhIK+7udkiPdG2gGdql
GQndGdZjeL/qqjHEgzaQs5zrTn7ia5lx4IyGuelATKSgBMd6Ow2T9akMjfaE0Wd2YJj8p9M43TbR
FE2iBNgSc63tttyGyVGr829q9CLVwtG78mbS8ZssNK2BfkdYzYk0im6o9Pt0wT6mbsuiC5dNZont
5PGTTWl1dzS3Q1ILWS7WbQcXf0Q1dOcltkhJI3Ww2vTFWRY5d3ihD0eRHpthtQ21bhciTb4byzy+
IQgAKqao4OcSQUUyYFcfTQVSDSQCziLpJfhxVG4bJXM3uSrEuoL3Sy4ehtpCyUnIJf+3llq3dRjn
/cIkz3Nl5d5hZ3oPpMnnS0SwCMsmfzhNrf7KN6fLkdA2zadPmgcADlzW5zWDzIhMKbdcTmZfHdEe
vcEWr/LS4UDBEqmrvkNFnYmwXWKb4egbVN6WIfW4y4wu3imgSJcZZedGTLS508AHQx2MykYvTBRW
Znw29qZC/zk+jJXkdFL8tRm2hy49r1XU27x5VmbMSEXHIuEPyU3hleVtpFL2YbrTsMuWTXiihgUp
WLS+3SvL07NjJuUkkGHIQj8eQYAvBkZVEKfyNSD+Bv+zoT+mftMcIT1L6LKByiY9ZbzXmeWu/QF4
RmSpmGlGAfzYIH/ibGzye4RZMC0gnS7VeCATsdGag8YV3jpqMJ+NVecdBCAKt00wWYw264le3jg3
1AjpW0GGSy+RFuI7j3QjPFJMJa3gXefqeRDjmC1yw5JSrgsF09mVAXPpMKfheD0YsWKt9NHGVzP2
+s3ImfokB6KI7TkGuA1FUejnSjAyj03J4viYVVFwxAHlciAGADt1Brs6T48dEz1031LwMdEFhjhB
PvG7rt2mMTU1+mJrXAid4niKJ7ddKlVufBHCEPqi7ZzkevIYaroMNyjxcj3c6LRfDtrUb3c1F39Z
oRe+TCdXnMC/MC80rLnb0h7LXU490dHHDc0HYB0E22uE8O3aXoidh2LzWEc8f1HQvD20x3Da5h6T
8jQPeeCyoOo/tnHsS/Wcd+KPGLCidBy3IkpUHPCMPFOlxR1U1fW670wwt4m0v2b6AxrYstkOpQbo
EZMuEitBWTFOzFEY7ssaoeOtLQa/6G9dOxcPuWc8dA0RGwtqbe+4j6NmY5gxciLXIJ2K9ryTraIi
z6+iPG6J9Rv8HpOtL9xTGzv3bQ8d4CAxlF7yrLTAwtQIDnFIAxRyMKcouG3w23lBLobfFOm6ALO5
7rBmHlnQdlapUILT1h+QYBiYnuomNFe2RYrpQsRjfqXGdXKgM4/FwDeM4box/dSA8551DEp91PpA
BM9HJug3ubCaQ2alEeCGMqyvKZCGOwVCQrEgnbsErKZqlBaVBbXWgDG7UKcRPSvJjLjiypB2xZaR
N+qkGjFhI8ryOM/L6AjnR3hptFl1UaUaieScEEjfpqlO7ZpaJ7AmtE+mXRULkh2Gi8rFPbBs6EJG
q/fTl3iuHVa37e16znc7F4/1ePHYiPS5dKCykN+d4UZXxX/2j152xR//oudkuauxfPzH/94XIm/l
XxBwY7Fv/xY65/xe9jT/SfPf+6vfgE0oasUDv5rmMXJwOgdQqOYvfmFa5MHztwEYSkMzvbPnb7P9
0lN5dYV+dg1+/faeLuav/82bN3D7kEX5KmraOrpvX18CGtWotahZ3rR6fnIZfvdbfrsM0Bilv8OY
/dvyLfMLX10GGukIu1wT3P/T17u7DM8jdVmI7XUhLCmAo9Qy5G0hv/iFry4EKjiNNCl0bk/fldSu
93U/PF8IaU3b60KYjEGAo8HtlLcDXzTWXl0I+4PUAtDee7lO7/aOwFq314WgoOcIgIri6TJ4Hh/5
qwuh6XgCXckwePkH7/SOsH5/Wvqra4RJ35ZwTgPI6tMXV/bVhXA+sD7oOpvx84V6ugPf0VL58mjQ
Qt7rjuBcyMSREFJTLr58vb0QfJtngxtGf1qM3tEVkFJc4qz2ff86wiPHYh7w5gZAj2Socm5qMnGd
v97bk+CgXmYz3/Ptux9cvL6E2r68zbcro/kBQxi3hvXqMXlfW4S8C3iQ97wMYDiRdRNP+rZUwD5N
cpQDdfzp2VCfKrR39BC8LAP7XwAUeXL+9GrBe7Ue2h/Qp9Ox4Z88fb3XHVJq/PdaD21qaIzyzJOe
n/u3DwQxZA4CDRQYzxfi6QF8h3fEUzH31Dn9fiz542Hip1U00hFZQXND/PaRv7ojLJDn8AP0511j
3jfe18rw/GjIXKG97ghN+yDvfAvp6dOVeLtTmGTWOdTZL/eLrC3f14Vgp4B1/zcUCuiLLIOM8zc7
JaWShR5Ip038/PXe3v/LjfD0wfznTwQ3AshnmBlybv/qUWCXMGyOk3DAn77e6znK2HeX4HyA8hCB
9ksH4e2j4FBKqmhyvm8i7+5ReLkV9t0lWBwRj3BcxEA2f/ELX90RbCKMOhBwPF3w97c76PteAO4E
TeexN43n7eHtncCjYqkEeRrv9g7Yd3sEvQB4D6PCS0vh7Zog0+3wPKs4Gp6+3usBUgLs99oePXSp
+lMJ/uoJwCxpaRoAIRkBK7/e3Y3wPRJmr3dPM9FxGbmS+/L0xef86jIYH0yDKHau0PM68e5O0S8r
4r7naPiWTHVxyL584G+fB8nVtplJw219+nqve+QfKOJ/tbNEVxWZNUCWlzvi7YUwP+B/QmqBhvTp
691tEd9BqHs9GC5NeHqNs4D9zQOBgJxAT/dp2XmHO+O+vWaPO51IKXkPPH29LZeZ0aAD12k9vtMy
Wd+3TMblx3mJruHz+5fR26/uAFuaAOm9Oi/ff69LojQG7vUI0EPE16/hyHhpqry5EBaqG9qqzOve
60rwvDdIBsJeF4J8BNCs2EFfiqG3jwQ9ZsdwsIs6z5vDu10b9i0aqZpRZlExy/r7zTOBvVXD3v18
J/yVaulPLKFPEjnm3EvQcQ/zhDt6bH40CP/ZP3gZ7v7x+78bYL/5h3Lg/fTaT1Nu+d//fNNwmofP
r775MoyeX+f5x5/f4B9f+s1rvbyrl/9zFz3Wt/V9CM+G8fj4/Gee3GbMyU9/zf+ef+BpWP/mj331
FPzyt/+bBMI9f/1R/0Mb9vdxwG9X8x//+5/8+Ue3DyL/gVXtexdp3xdYkjHQ/M9F1P0oQPx7O3/f
V1mQBv9Dyvvz0Gjf3/+v/Da7+5EfXm5rs4Zh31f4U477PW+mL8Xd42sBxsuKz/K075//Z6CIe/71
lwDn2x98yC/vgg1833cx36bNT5W3slja9yX+FOd3zyt1+m/Tj/Z9gX8bn7fnC5xEwY/Wi5fjKyXD
vp/Dn3Pp7vk2jm+D4ue3k8yU2vdtHBXBz+FYUnG99ws83t394hUoFvd+hVtSMH+0B7182n/Dg310
+6Pt4eUF/obH+s94Eve8mQ6yny9+Bm2HfT+HP+E62PMdbB4fKNPS/1nellHL/1491nXUFvX48scf
PMi4SdjKsGH+hmd8nePc++lqbnIu2feakabR/vzpkNb8vV/hF0Glcvy99+//E3y9PT/21WPa/qDE
fPmg/4bHe/GYi18YZv6G53txOz6mzS/eBY2kfT+Kxa24D39xN/0Nz/i/ErgUB3dF9tOnQmrt9n0j
/3q4RS3/84tl/Q3P9r/uol+8wL99tH90zPwujv7j4fNF9PyjH3t7spb/4j59vK3/+f8AAAD//w==
</cx:binary>
              </cx:geoCache>
            </cx:geography>
          </cx:layoutPr>
          <cx:valueColors>
            <cx:midColor>
              <a:schemeClr val="accent6">
                <a:lumMod val="60000"/>
                <a:lumOff val="40000"/>
              </a:schemeClr>
            </cx:midColor>
            <cx:maxColor>
              <a:schemeClr val="accent6">
                <a:lumMod val="75000"/>
              </a:schemeClr>
            </cx:maxColor>
          </cx:valueColors>
        </cx:series>
      </cx:plotAreaRegion>
    </cx:plotArea>
    <cx:legend pos="b" align="ctr" overlay="0">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15</xdr:col>
      <xdr:colOff>1089660</xdr:colOff>
      <xdr:row>34</xdr:row>
      <xdr:rowOff>9253</xdr:rowOff>
    </xdr:from>
    <xdr:to>
      <xdr:col>18</xdr:col>
      <xdr:colOff>576942</xdr:colOff>
      <xdr:row>47</xdr:row>
      <xdr:rowOff>163558</xdr:rowOff>
    </xdr:to>
    <mc:AlternateContent xmlns:mc="http://schemas.openxmlformats.org/markup-compatibility/2006">
      <mc:Choice xmlns:a14="http://schemas.microsoft.com/office/drawing/2010/main" Requires="a14">
        <xdr:graphicFrame macro="">
          <xdr:nvGraphicFramePr>
            <xdr:cNvPr id="11" name="State ">
              <a:extLst>
                <a:ext uri="{FF2B5EF4-FFF2-40B4-BE49-F238E27FC236}">
                  <a16:creationId xmlns:a16="http://schemas.microsoft.com/office/drawing/2014/main" id="{D2666EB3-AC3E-436E-8F00-15F26D3D2DF4}"/>
                </a:ext>
              </a:extLst>
            </xdr:cNvPr>
            <xdr:cNvGraphicFramePr/>
          </xdr:nvGraphicFramePr>
          <xdr:xfrm>
            <a:off x="0" y="0"/>
            <a:ext cx="0" cy="0"/>
          </xdr:xfrm>
          <a:graphic>
            <a:graphicData uri="http://schemas.microsoft.com/office/drawing/2010/slicer">
              <sle:slicer xmlns:sle="http://schemas.microsoft.com/office/drawing/2010/slicer" name="State "/>
            </a:graphicData>
          </a:graphic>
        </xdr:graphicFrame>
      </mc:Choice>
      <mc:Fallback>
        <xdr:sp macro="" textlink="">
          <xdr:nvSpPr>
            <xdr:cNvPr id="0" name=""/>
            <xdr:cNvSpPr>
              <a:spLocks noTextEdit="1"/>
            </xdr:cNvSpPr>
          </xdr:nvSpPr>
          <xdr:spPr>
            <a:xfrm>
              <a:off x="16560981" y="6486253"/>
              <a:ext cx="1773282" cy="26308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656953</xdr:colOff>
      <xdr:row>11</xdr:row>
      <xdr:rowOff>29936</xdr:rowOff>
    </xdr:from>
    <xdr:to>
      <xdr:col>16</xdr:col>
      <xdr:colOff>267789</xdr:colOff>
      <xdr:row>14</xdr:row>
      <xdr:rowOff>29937</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20DDE2CE-6A77-4908-B1F5-D2389AAD3C2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458553" y="2065565"/>
              <a:ext cx="2155372" cy="555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139882</xdr:colOff>
      <xdr:row>35</xdr:row>
      <xdr:rowOff>20683</xdr:rowOff>
    </xdr:from>
    <xdr:to>
      <xdr:col>10</xdr:col>
      <xdr:colOff>768532</xdr:colOff>
      <xdr:row>42</xdr:row>
      <xdr:rowOff>160564</xdr:rowOff>
    </xdr:to>
    <mc:AlternateContent xmlns:mc="http://schemas.openxmlformats.org/markup-compatibility/2006">
      <mc:Choice xmlns:a14="http://schemas.microsoft.com/office/drawing/2010/main" Requires="a14">
        <xdr:graphicFrame macro="">
          <xdr:nvGraphicFramePr>
            <xdr:cNvPr id="2" name="Month">
              <a:extLst>
                <a:ext uri="{FF2B5EF4-FFF2-40B4-BE49-F238E27FC236}">
                  <a16:creationId xmlns:a16="http://schemas.microsoft.com/office/drawing/2014/main" id="{2A752016-01E4-15AD-6E71-46F51671B2D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794025" y="6688183"/>
              <a:ext cx="1662793" cy="1473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438150</xdr:colOff>
      <xdr:row>1</xdr:row>
      <xdr:rowOff>133350</xdr:rowOff>
    </xdr:from>
    <xdr:to>
      <xdr:col>49</xdr:col>
      <xdr:colOff>495300</xdr:colOff>
      <xdr:row>70</xdr:row>
      <xdr:rowOff>38100</xdr:rowOff>
    </xdr:to>
    <xdr:grpSp>
      <xdr:nvGrpSpPr>
        <xdr:cNvPr id="16" name="Group 15">
          <a:extLst>
            <a:ext uri="{FF2B5EF4-FFF2-40B4-BE49-F238E27FC236}">
              <a16:creationId xmlns:a16="http://schemas.microsoft.com/office/drawing/2014/main" id="{30D3A9A6-996C-1220-5DFF-26BB61C5CD6E}"/>
            </a:ext>
          </a:extLst>
        </xdr:cNvPr>
        <xdr:cNvGrpSpPr/>
      </xdr:nvGrpSpPr>
      <xdr:grpSpPr>
        <a:xfrm>
          <a:off x="1025863" y="336010"/>
          <a:ext cx="28267363" cy="13888260"/>
          <a:chOff x="1280160" y="297180"/>
          <a:chExt cx="17746980" cy="7165211"/>
        </a:xfrm>
      </xdr:grpSpPr>
      <xdr:sp macro="" textlink="">
        <xdr:nvSpPr>
          <xdr:cNvPr id="2" name="Rectangle: Rounded Corners 1">
            <a:extLst>
              <a:ext uri="{FF2B5EF4-FFF2-40B4-BE49-F238E27FC236}">
                <a16:creationId xmlns:a16="http://schemas.microsoft.com/office/drawing/2014/main" id="{2938DF95-03E8-4F4F-B281-6FD2C851A7D3}"/>
              </a:ext>
            </a:extLst>
          </xdr:cNvPr>
          <xdr:cNvSpPr/>
        </xdr:nvSpPr>
        <xdr:spPr>
          <a:xfrm>
            <a:off x="1280160" y="297180"/>
            <a:ext cx="17746980" cy="7165211"/>
          </a:xfrm>
          <a:prstGeom prst="roundRect">
            <a:avLst>
              <a:gd name="adj" fmla="val 4912"/>
            </a:avLst>
          </a:prstGeom>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path path="circle">
              <a:fillToRect l="100000" b="100000"/>
            </a:path>
            <a:tileRect t="-100000" r="-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p>
        </xdr:txBody>
      </xdr:sp>
      <xdr:sp macro="" textlink="">
        <xdr:nvSpPr>
          <xdr:cNvPr id="3" name="Rectangle: Rounded Corners 2">
            <a:extLst>
              <a:ext uri="{FF2B5EF4-FFF2-40B4-BE49-F238E27FC236}">
                <a16:creationId xmlns:a16="http://schemas.microsoft.com/office/drawing/2014/main" id="{16A606F1-7FD4-41F4-8959-895939F97065}"/>
              </a:ext>
            </a:extLst>
          </xdr:cNvPr>
          <xdr:cNvSpPr/>
        </xdr:nvSpPr>
        <xdr:spPr>
          <a:xfrm>
            <a:off x="1503046" y="441960"/>
            <a:ext cx="17310734" cy="6787515"/>
          </a:xfrm>
          <a:prstGeom prst="roundRect">
            <a:avLst>
              <a:gd name="adj" fmla="val 4912"/>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4000" b="1">
                <a:solidFill>
                  <a:schemeClr val="tx1">
                    <a:lumMod val="65000"/>
                    <a:lumOff val="35000"/>
                  </a:schemeClr>
                </a:solidFill>
                <a:latin typeface="Century Gothic" panose="020B0502020202020204" pitchFamily="34" charset="0"/>
              </a:rPr>
              <a:t>Nigerain Fuel Price Analysis</a:t>
            </a:r>
          </a:p>
        </xdr:txBody>
      </xdr:sp>
      <xdr:graphicFrame macro="">
        <xdr:nvGraphicFramePr>
          <xdr:cNvPr id="10" name="Chart 9">
            <a:extLst>
              <a:ext uri="{FF2B5EF4-FFF2-40B4-BE49-F238E27FC236}">
                <a16:creationId xmlns:a16="http://schemas.microsoft.com/office/drawing/2014/main" id="{8FD102E4-B6CA-4F1B-9C36-46D3F38477E7}"/>
              </a:ext>
            </a:extLst>
          </xdr:cNvPr>
          <xdr:cNvGraphicFramePr>
            <a:graphicFrameLocks/>
          </xdr:cNvGraphicFramePr>
        </xdr:nvGraphicFramePr>
        <xdr:xfrm>
          <a:off x="6164579" y="2113461"/>
          <a:ext cx="5371011" cy="225524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2" name="Rectangle: Rounded Corners 11">
            <a:extLst>
              <a:ext uri="{FF2B5EF4-FFF2-40B4-BE49-F238E27FC236}">
                <a16:creationId xmlns:a16="http://schemas.microsoft.com/office/drawing/2014/main" id="{1A5640F2-C554-4BD1-B073-19E386922236}"/>
              </a:ext>
            </a:extLst>
          </xdr:cNvPr>
          <xdr:cNvSpPr/>
        </xdr:nvSpPr>
        <xdr:spPr>
          <a:xfrm>
            <a:off x="12014016" y="3517175"/>
            <a:ext cx="6605683" cy="3645396"/>
          </a:xfrm>
          <a:prstGeom prst="roundRect">
            <a:avLst>
              <a:gd name="adj" fmla="val 9571"/>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b="1">
                <a:solidFill>
                  <a:schemeClr val="tx1">
                    <a:lumMod val="65000"/>
                    <a:lumOff val="35000"/>
                  </a:schemeClr>
                </a:solidFill>
                <a:latin typeface="Century Gothic" panose="020B0502020202020204" pitchFamily="34" charset="0"/>
              </a:rPr>
              <a:t>Fuel Price Distribution By State</a:t>
            </a:r>
          </a:p>
        </xdr:txBody>
      </xdr:sp>
      <xdr:grpSp>
        <xdr:nvGrpSpPr>
          <xdr:cNvPr id="17" name="Group 16">
            <a:extLst>
              <a:ext uri="{FF2B5EF4-FFF2-40B4-BE49-F238E27FC236}">
                <a16:creationId xmlns:a16="http://schemas.microsoft.com/office/drawing/2014/main" id="{9A689146-BA67-4E00-A7E3-5FE2F2E26F6B}"/>
              </a:ext>
            </a:extLst>
          </xdr:cNvPr>
          <xdr:cNvGrpSpPr/>
        </xdr:nvGrpSpPr>
        <xdr:grpSpPr>
          <a:xfrm>
            <a:off x="1671770" y="1341123"/>
            <a:ext cx="16934364" cy="5831876"/>
            <a:chOff x="1764916" y="2838756"/>
            <a:chExt cx="11339090" cy="2262730"/>
          </a:xfrm>
        </xdr:grpSpPr>
        <xdr:sp macro="" textlink="">
          <xdr:nvSpPr>
            <xdr:cNvPr id="11" name="Rectangle: Rounded Corners 10">
              <a:extLst>
                <a:ext uri="{FF2B5EF4-FFF2-40B4-BE49-F238E27FC236}">
                  <a16:creationId xmlns:a16="http://schemas.microsoft.com/office/drawing/2014/main" id="{968AD735-9D01-4B9B-B8C4-7AC7CA61B7D5}"/>
                </a:ext>
              </a:extLst>
            </xdr:cNvPr>
            <xdr:cNvSpPr/>
          </xdr:nvSpPr>
          <xdr:spPr>
            <a:xfrm>
              <a:off x="1764916" y="3691966"/>
              <a:ext cx="6829949" cy="1409520"/>
            </a:xfrm>
            <a:prstGeom prst="roundRect">
              <a:avLst>
                <a:gd name="adj" fmla="val 14142"/>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b="1">
                  <a:solidFill>
                    <a:schemeClr val="tx1">
                      <a:lumMod val="65000"/>
                      <a:lumOff val="35000"/>
                    </a:schemeClr>
                  </a:solidFill>
                  <a:latin typeface="Century Gothic" panose="020B0502020202020204" pitchFamily="34" charset="0"/>
                </a:rPr>
                <a:t>           Top 5 Lowest States                                                                               </a:t>
              </a:r>
              <a:r>
                <a:rPr lang="en-US" sz="2000" b="1" i="0" u="none" strike="noStrike">
                  <a:solidFill>
                    <a:schemeClr val="tx1">
                      <a:lumMod val="65000"/>
                      <a:lumOff val="35000"/>
                    </a:schemeClr>
                  </a:solidFill>
                  <a:effectLst/>
                  <a:latin typeface="Century Gothic" panose="020B0502020202020204" pitchFamily="34" charset="0"/>
                  <a:ea typeface="+mn-ea"/>
                  <a:cs typeface="+mn-cs"/>
                </a:rPr>
                <a:t>Top 5 Highest Sates</a:t>
              </a:r>
              <a:r>
                <a:rPr lang="en-US" sz="2800" b="1">
                  <a:solidFill>
                    <a:schemeClr val="tx1">
                      <a:lumMod val="65000"/>
                      <a:lumOff val="35000"/>
                    </a:schemeClr>
                  </a:solidFill>
                  <a:latin typeface="Century Gothic" panose="020B0502020202020204" pitchFamily="34" charset="0"/>
                </a:rPr>
                <a:t> </a:t>
              </a:r>
              <a:endParaRPr lang="en-GB" sz="2000" b="1">
                <a:solidFill>
                  <a:schemeClr val="tx1">
                    <a:lumMod val="65000"/>
                    <a:lumOff val="35000"/>
                  </a:schemeClr>
                </a:solidFill>
                <a:latin typeface="Century Gothic" panose="020B0502020202020204" pitchFamily="34" charset="0"/>
              </a:endParaRPr>
            </a:p>
          </xdr:txBody>
        </xdr:sp>
        <xdr:sp macro="" textlink="">
          <xdr:nvSpPr>
            <xdr:cNvPr id="13" name="Rectangle: Rounded Corners 12">
              <a:extLst>
                <a:ext uri="{FF2B5EF4-FFF2-40B4-BE49-F238E27FC236}">
                  <a16:creationId xmlns:a16="http://schemas.microsoft.com/office/drawing/2014/main" id="{038B5D3A-3F5F-42A6-99B3-91CB7FA18FAE}"/>
                </a:ext>
              </a:extLst>
            </xdr:cNvPr>
            <xdr:cNvSpPr/>
          </xdr:nvSpPr>
          <xdr:spPr>
            <a:xfrm>
              <a:off x="8696912" y="2838756"/>
              <a:ext cx="4407094" cy="791961"/>
            </a:xfrm>
            <a:prstGeom prst="roundRect">
              <a:avLst>
                <a:gd name="adj" fmla="val 16315"/>
              </a:avLst>
            </a:prstGeom>
            <a:solidFill>
              <a:srgbClr val="F8F9FA">
                <a:alpha val="44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chemeClr val="tx1">
                      <a:lumMod val="65000"/>
                      <a:lumOff val="35000"/>
                    </a:schemeClr>
                  </a:solidFill>
                  <a:latin typeface="Century Gothic" panose="020B0502020202020204" pitchFamily="34" charset="0"/>
                  <a:ea typeface="Calibri"/>
                  <a:cs typeface="Calibri"/>
                </a:rPr>
                <a:t>Basic Info</a:t>
              </a:r>
            </a:p>
          </xdr:txBody>
        </xdr:sp>
        <xdr:sp macro="" textlink="">
          <xdr:nvSpPr>
            <xdr:cNvPr id="18" name="Rectangle: Rounded Corners 17">
              <a:extLst>
                <a:ext uri="{FF2B5EF4-FFF2-40B4-BE49-F238E27FC236}">
                  <a16:creationId xmlns:a16="http://schemas.microsoft.com/office/drawing/2014/main" id="{453B92C9-A0B9-4D19-B036-13F13DD0DB48}"/>
                </a:ext>
              </a:extLst>
            </xdr:cNvPr>
            <xdr:cNvSpPr/>
          </xdr:nvSpPr>
          <xdr:spPr>
            <a:xfrm>
              <a:off x="5273614" y="2847624"/>
              <a:ext cx="3239616" cy="822087"/>
            </a:xfrm>
            <a:prstGeom prst="roundRect">
              <a:avLst>
                <a:gd name="adj" fmla="val 16315"/>
              </a:avLst>
            </a:prstGeom>
            <a:solidFill>
              <a:srgbClr val="F8F9FA">
                <a:alpha val="44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chemeClr val="tx1">
                      <a:lumMod val="65000"/>
                      <a:lumOff val="35000"/>
                    </a:schemeClr>
                  </a:solidFill>
                  <a:effectLst/>
                  <a:latin typeface="Century Gothic" panose="020B0502020202020204" pitchFamily="34" charset="0"/>
                  <a:ea typeface="+mn-ea"/>
                  <a:cs typeface="+mn-cs"/>
                </a:rPr>
                <a:t>National Monthly Average Fuel Price Trend</a:t>
              </a:r>
              <a:r>
                <a:rPr lang="en-US" sz="2000" b="1">
                  <a:solidFill>
                    <a:schemeClr val="tx1">
                      <a:lumMod val="65000"/>
                      <a:lumOff val="35000"/>
                    </a:schemeClr>
                  </a:solidFill>
                  <a:latin typeface="Century Gothic" panose="020B0502020202020204" pitchFamily="34" charset="0"/>
                </a:rPr>
                <a:t> </a:t>
              </a:r>
              <a:endParaRPr lang="en-GB" sz="2000" b="1">
                <a:solidFill>
                  <a:schemeClr val="tx1">
                    <a:lumMod val="65000"/>
                    <a:lumOff val="35000"/>
                  </a:schemeClr>
                </a:solidFill>
                <a:latin typeface="Century Gothic" panose="020B0502020202020204" pitchFamily="34" charset="0"/>
              </a:endParaRPr>
            </a:p>
          </xdr:txBody>
        </xdr:sp>
      </xdr:grpSp>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666CB55A-12A8-45CD-B515-BAEE0216201A}"/>
                  </a:ext>
                </a:extLst>
              </xdr:cNvPr>
              <xdr:cNvGraphicFramePr/>
            </xdr:nvGraphicFramePr>
            <xdr:xfrm>
              <a:off x="12029256" y="3829594"/>
              <a:ext cx="6628899" cy="3496815"/>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029256" y="3829594"/>
                <a:ext cx="6628899" cy="349681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21" name="Chart 20">
            <a:extLst>
              <a:ext uri="{FF2B5EF4-FFF2-40B4-BE49-F238E27FC236}">
                <a16:creationId xmlns:a16="http://schemas.microsoft.com/office/drawing/2014/main" id="{B2369832-B93F-4D7F-BEF1-ACFFF6BB1EFD}"/>
              </a:ext>
            </a:extLst>
          </xdr:cNvPr>
          <xdr:cNvGraphicFramePr>
            <a:graphicFrameLocks/>
          </xdr:cNvGraphicFramePr>
        </xdr:nvGraphicFramePr>
        <xdr:xfrm>
          <a:off x="7066732" y="4381500"/>
          <a:ext cx="4767128" cy="256032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2" name="Chart 21">
            <a:extLst>
              <a:ext uri="{FF2B5EF4-FFF2-40B4-BE49-F238E27FC236}">
                <a16:creationId xmlns:a16="http://schemas.microsoft.com/office/drawing/2014/main" id="{51CBA551-271E-484E-867D-2EAF69E8286E}"/>
              </a:ext>
            </a:extLst>
          </xdr:cNvPr>
          <xdr:cNvGraphicFramePr>
            <a:graphicFrameLocks/>
          </xdr:cNvGraphicFramePr>
        </xdr:nvGraphicFramePr>
        <xdr:xfrm>
          <a:off x="1786072" y="4385055"/>
          <a:ext cx="4978528" cy="2553211"/>
        </xdr:xfrm>
        <a:graphic>
          <a:graphicData uri="http://schemas.openxmlformats.org/drawingml/2006/chart">
            <c:chart xmlns:c="http://schemas.openxmlformats.org/drawingml/2006/chart" xmlns:r="http://schemas.openxmlformats.org/officeDocument/2006/relationships" r:id="rId4"/>
          </a:graphicData>
        </a:graphic>
      </xdr:graphicFrame>
      <xdr:sp macro="" textlink="LowestPmsPrice">
        <xdr:nvSpPr>
          <xdr:cNvPr id="25" name="TextBox 24">
            <a:extLst>
              <a:ext uri="{FF2B5EF4-FFF2-40B4-BE49-F238E27FC236}">
                <a16:creationId xmlns:a16="http://schemas.microsoft.com/office/drawing/2014/main" id="{D00BCBF8-83DA-4A5D-AD44-8559096FAFD2}"/>
              </a:ext>
            </a:extLst>
          </xdr:cNvPr>
          <xdr:cNvSpPr txBox="1"/>
        </xdr:nvSpPr>
        <xdr:spPr>
          <a:xfrm>
            <a:off x="12199620" y="2301240"/>
            <a:ext cx="436626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305772-B592-4461-AB2D-AE2B2E0DBBCB}" type="TxLink">
              <a:rPr lang="en-US" sz="2000" b="1" i="0" u="none" strike="noStrike">
                <a:solidFill>
                  <a:schemeClr val="tx1">
                    <a:lumMod val="65000"/>
                    <a:lumOff val="35000"/>
                  </a:schemeClr>
                </a:solidFill>
                <a:latin typeface="Century Gothic" panose="020B0502020202020204" pitchFamily="34" charset="0"/>
                <a:ea typeface="Calibri"/>
                <a:cs typeface="Calibri"/>
              </a:rPr>
              <a:pPr/>
              <a:t>State with the lowest pms price: Ekiti (₦957)</a:t>
            </a:fld>
            <a:endParaRPr lang="en-US" sz="2000" b="1">
              <a:solidFill>
                <a:schemeClr val="tx1">
                  <a:lumMod val="65000"/>
                  <a:lumOff val="35000"/>
                </a:schemeClr>
              </a:solidFill>
              <a:latin typeface="Century Gothic" panose="020B0502020202020204" pitchFamily="34" charset="0"/>
            </a:endParaRPr>
          </a:p>
        </xdr:txBody>
      </xdr:sp>
      <xdr:sp macro="" textlink="HighestPmsPrice">
        <xdr:nvSpPr>
          <xdr:cNvPr id="26" name="TextBox 25">
            <a:extLst>
              <a:ext uri="{FF2B5EF4-FFF2-40B4-BE49-F238E27FC236}">
                <a16:creationId xmlns:a16="http://schemas.microsoft.com/office/drawing/2014/main" id="{1E51A029-B8AC-43C0-BAB7-C8FF1F0E92B9}"/>
              </a:ext>
            </a:extLst>
          </xdr:cNvPr>
          <xdr:cNvSpPr txBox="1"/>
        </xdr:nvSpPr>
        <xdr:spPr>
          <a:xfrm>
            <a:off x="12199620" y="2880360"/>
            <a:ext cx="45720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935FA8-4E57-455F-9B5C-F8860144BDD9}" type="TxLink">
              <a:rPr lang="en-US" sz="2000" b="1" i="0" u="none" strike="noStrike">
                <a:solidFill>
                  <a:schemeClr val="tx1">
                    <a:lumMod val="65000"/>
                    <a:lumOff val="35000"/>
                  </a:schemeClr>
                </a:solidFill>
                <a:latin typeface="Century Gothic" panose="020B0502020202020204" pitchFamily="34" charset="0"/>
                <a:ea typeface="Calibri"/>
                <a:cs typeface="Calibri"/>
              </a:rPr>
              <a:pPr/>
              <a:t>State with the highest pms price: Jigawa (₦1730)</a:t>
            </a:fld>
            <a:endParaRPr lang="en-US" sz="2000" b="1">
              <a:solidFill>
                <a:schemeClr val="tx1">
                  <a:lumMod val="65000"/>
                  <a:lumOff val="35000"/>
                </a:schemeClr>
              </a:solidFill>
              <a:latin typeface="Century Gothic" panose="020B0502020202020204" pitchFamily="34" charset="0"/>
            </a:endParaRPr>
          </a:p>
        </xdr:txBody>
      </xdr:sp>
      <xdr:graphicFrame macro="">
        <xdr:nvGraphicFramePr>
          <xdr:cNvPr id="32" name="Chart 31">
            <a:extLst>
              <a:ext uri="{FF2B5EF4-FFF2-40B4-BE49-F238E27FC236}">
                <a16:creationId xmlns:a16="http://schemas.microsoft.com/office/drawing/2014/main" id="{99382493-960C-4323-98EE-EEE009C93696}"/>
              </a:ext>
            </a:extLst>
          </xdr:cNvPr>
          <xdr:cNvGraphicFramePr>
            <a:graphicFrameLocks/>
          </xdr:cNvGraphicFramePr>
        </xdr:nvGraphicFramePr>
        <xdr:xfrm>
          <a:off x="7036250" y="1234441"/>
          <a:ext cx="4393750" cy="2125978"/>
        </xdr:xfrm>
        <a:graphic>
          <a:graphicData uri="http://schemas.openxmlformats.org/drawingml/2006/chart">
            <c:chart xmlns:c="http://schemas.openxmlformats.org/drawingml/2006/chart" xmlns:r="http://schemas.openxmlformats.org/officeDocument/2006/relationships" r:id="rId5"/>
          </a:graphicData>
        </a:graphic>
      </xdr:graphicFrame>
      <xdr:sp macro="" textlink="PriceAverage">
        <xdr:nvSpPr>
          <xdr:cNvPr id="33" name="TextBox 32">
            <a:extLst>
              <a:ext uri="{FF2B5EF4-FFF2-40B4-BE49-F238E27FC236}">
                <a16:creationId xmlns:a16="http://schemas.microsoft.com/office/drawing/2014/main" id="{F8803590-EBFE-47D9-BD48-F1D85110D6FC}"/>
              </a:ext>
            </a:extLst>
          </xdr:cNvPr>
          <xdr:cNvSpPr txBox="1"/>
        </xdr:nvSpPr>
        <xdr:spPr>
          <a:xfrm>
            <a:off x="12176760" y="1813560"/>
            <a:ext cx="406908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7802B9-0966-4DFD-A6CB-BBA1B592D0CE}" type="TxLink">
              <a:rPr lang="en-US" sz="2000" b="1" i="0" u="none" strike="noStrike">
                <a:solidFill>
                  <a:schemeClr val="tx1">
                    <a:lumMod val="65000"/>
                    <a:lumOff val="35000"/>
                  </a:schemeClr>
                </a:solidFill>
                <a:latin typeface="Century Gothic" panose="020B0502020202020204" pitchFamily="34" charset="0"/>
                <a:ea typeface="Calibri"/>
                <a:cs typeface="Calibri"/>
              </a:rPr>
              <a:pPr/>
              <a:t>Price Average: ₦1246</a:t>
            </a:fld>
            <a:endParaRPr lang="LID4096" sz="2000" b="1">
              <a:solidFill>
                <a:schemeClr val="tx1">
                  <a:lumMod val="65000"/>
                  <a:lumOff val="35000"/>
                </a:schemeClr>
              </a:solidFill>
              <a:latin typeface="Century Gothic" panose="020B0502020202020204" pitchFamily="34" charset="0"/>
            </a:endParaRPr>
          </a:p>
        </xdr:txBody>
      </xdr:sp>
      <xdr:sp macro="" textlink="">
        <xdr:nvSpPr>
          <xdr:cNvPr id="37" name="Rectangle: Rounded Corners 36">
            <a:extLst>
              <a:ext uri="{FF2B5EF4-FFF2-40B4-BE49-F238E27FC236}">
                <a16:creationId xmlns:a16="http://schemas.microsoft.com/office/drawing/2014/main" id="{C48C2093-975B-4227-B524-21128129E307}"/>
              </a:ext>
            </a:extLst>
          </xdr:cNvPr>
          <xdr:cNvSpPr/>
        </xdr:nvSpPr>
        <xdr:spPr>
          <a:xfrm>
            <a:off x="1699260" y="1363980"/>
            <a:ext cx="5067300" cy="2072640"/>
          </a:xfrm>
          <a:prstGeom prst="roundRect">
            <a:avLst>
              <a:gd name="adj" fmla="val 15564"/>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600"/>
          </a:p>
        </xdr:txBody>
      </xdr:sp>
      <xdr:sp macro="" textlink="">
        <xdr:nvSpPr>
          <xdr:cNvPr id="36" name="TextBox 35">
            <a:extLst>
              <a:ext uri="{FF2B5EF4-FFF2-40B4-BE49-F238E27FC236}">
                <a16:creationId xmlns:a16="http://schemas.microsoft.com/office/drawing/2014/main" id="{FD083DAC-2DF6-455B-B240-D9806DA48082}"/>
              </a:ext>
            </a:extLst>
          </xdr:cNvPr>
          <xdr:cNvSpPr txBox="1"/>
        </xdr:nvSpPr>
        <xdr:spPr>
          <a:xfrm>
            <a:off x="1752600" y="1455420"/>
            <a:ext cx="40005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tx1">
                    <a:lumMod val="65000"/>
                    <a:lumOff val="35000"/>
                  </a:schemeClr>
                </a:solidFill>
                <a:effectLst/>
                <a:latin typeface="Century Gothic" panose="020B0502020202020204" pitchFamily="34" charset="0"/>
                <a:ea typeface="+mn-ea"/>
                <a:cs typeface="+mn-cs"/>
              </a:rPr>
              <a:t>States With the Highest Volatitlity</a:t>
            </a:r>
            <a:r>
              <a:rPr lang="en-US" sz="2000" b="1">
                <a:solidFill>
                  <a:schemeClr val="tx1">
                    <a:lumMod val="65000"/>
                    <a:lumOff val="35000"/>
                  </a:schemeClr>
                </a:solidFill>
                <a:latin typeface="Century Gothic" panose="020B0502020202020204" pitchFamily="34" charset="0"/>
              </a:rPr>
              <a:t> </a:t>
            </a:r>
            <a:endParaRPr lang="LID4096" sz="2000" b="1">
              <a:solidFill>
                <a:schemeClr val="tx1">
                  <a:lumMod val="65000"/>
                  <a:lumOff val="35000"/>
                </a:schemeClr>
              </a:solidFill>
              <a:latin typeface="Century Gothic" panose="020B0502020202020204" pitchFamily="34" charset="0"/>
            </a:endParaRPr>
          </a:p>
        </xdr:txBody>
      </xdr:sp>
      <xdr:sp macro="" textlink="percentage3">
        <xdr:nvSpPr>
          <xdr:cNvPr id="6" name="Rectangle: Rounded Corners 5">
            <a:extLst>
              <a:ext uri="{FF2B5EF4-FFF2-40B4-BE49-F238E27FC236}">
                <a16:creationId xmlns:a16="http://schemas.microsoft.com/office/drawing/2014/main" id="{BE7C607F-C1D2-4EB7-B380-3C74C206889E}"/>
              </a:ext>
            </a:extLst>
          </xdr:cNvPr>
          <xdr:cNvSpPr/>
        </xdr:nvSpPr>
        <xdr:spPr>
          <a:xfrm>
            <a:off x="1867987" y="2245659"/>
            <a:ext cx="1133272" cy="1051820"/>
          </a:xfrm>
          <a:prstGeom prst="roundRect">
            <a:avLst>
              <a:gd name="adj" fmla="val 9108"/>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0" i="0" u="none" strike="noStrike">
              <a:solidFill>
                <a:srgbClr val="000000"/>
              </a:solidFill>
              <a:latin typeface="Calibri"/>
              <a:ea typeface="Calibri"/>
              <a:cs typeface="Calibri"/>
            </a:endParaRPr>
          </a:p>
          <a:p>
            <a:pPr algn="l"/>
            <a:r>
              <a:rPr lang="en-US" sz="1600" b="0" i="0" u="none" strike="noStrike">
                <a:solidFill>
                  <a:srgbClr val="000000"/>
                </a:solidFill>
                <a:latin typeface="Calibri"/>
                <a:ea typeface="Calibri"/>
                <a:cs typeface="Calibri"/>
              </a:rPr>
              <a:t>Jigawa</a:t>
            </a:r>
          </a:p>
          <a:p>
            <a:pPr algn="l"/>
            <a:endParaRPr lang="en-US" sz="1600" b="0" i="0" u="none" strike="noStrike">
              <a:solidFill>
                <a:srgbClr val="000000"/>
              </a:solidFill>
              <a:latin typeface="Calibri"/>
              <a:ea typeface="Calibri"/>
              <a:cs typeface="Calibri"/>
            </a:endParaRPr>
          </a:p>
          <a:p>
            <a:pPr algn="l"/>
            <a:endParaRPr lang="en-US" sz="1600" b="0" i="0" u="none" strike="noStrike">
              <a:solidFill>
                <a:srgbClr val="000000"/>
              </a:solidFill>
              <a:latin typeface="Calibri"/>
              <a:ea typeface="Calibri"/>
              <a:cs typeface="Calibri"/>
            </a:endParaRPr>
          </a:p>
          <a:p>
            <a:pPr algn="l"/>
            <a:fld id="{C6820110-6700-498B-B7EC-50AD88566189}" type="TxLink">
              <a:rPr lang="en-US" sz="1600" b="0" i="0" u="none" strike="noStrike">
                <a:solidFill>
                  <a:srgbClr val="000000"/>
                </a:solidFill>
                <a:latin typeface="Calibri"/>
                <a:ea typeface="Calibri"/>
                <a:cs typeface="Calibri"/>
              </a:rPr>
              <a:pPr algn="l"/>
              <a:t>▲395%</a:t>
            </a:fld>
            <a:endParaRPr lang="en-GB" sz="1600"/>
          </a:p>
        </xdr:txBody>
      </xdr:sp>
      <xdr:sp macro="" textlink="">
        <xdr:nvSpPr>
          <xdr:cNvPr id="7" name="Rectangle: Rounded Corners 6">
            <a:extLst>
              <a:ext uri="{FF2B5EF4-FFF2-40B4-BE49-F238E27FC236}">
                <a16:creationId xmlns:a16="http://schemas.microsoft.com/office/drawing/2014/main" id="{B2387871-9C18-4771-8571-C37E8944EE8B}"/>
              </a:ext>
            </a:extLst>
          </xdr:cNvPr>
          <xdr:cNvSpPr/>
        </xdr:nvSpPr>
        <xdr:spPr>
          <a:xfrm>
            <a:off x="4388031" y="2236820"/>
            <a:ext cx="1045029" cy="1069499"/>
          </a:xfrm>
          <a:prstGeom prst="roundRect">
            <a:avLst>
              <a:gd name="adj" fmla="val 9108"/>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a:p>
        </xdr:txBody>
      </xdr:sp>
      <xdr:sp macro="" textlink="percentage">
        <xdr:nvSpPr>
          <xdr:cNvPr id="14" name="Rectangle: Rounded Corners 13">
            <a:extLst>
              <a:ext uri="{FF2B5EF4-FFF2-40B4-BE49-F238E27FC236}">
                <a16:creationId xmlns:a16="http://schemas.microsoft.com/office/drawing/2014/main" id="{F44D02EE-8FC5-4DDA-ABD1-1A76EA954F40}"/>
              </a:ext>
            </a:extLst>
          </xdr:cNvPr>
          <xdr:cNvSpPr/>
        </xdr:nvSpPr>
        <xdr:spPr>
          <a:xfrm>
            <a:off x="4411981" y="2278380"/>
            <a:ext cx="1036319" cy="1021081"/>
          </a:xfrm>
          <a:prstGeom prst="roundRect">
            <a:avLst>
              <a:gd name="adj" fmla="val 5204"/>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0" i="0" u="none" strike="noStrike">
              <a:solidFill>
                <a:srgbClr val="000000"/>
              </a:solidFill>
              <a:latin typeface="Calibri"/>
              <a:ea typeface="Calibri"/>
              <a:cs typeface="Calibri"/>
            </a:endParaRPr>
          </a:p>
          <a:p>
            <a:pPr algn="l"/>
            <a:r>
              <a:rPr lang="en-US" sz="1600" b="0" i="0" u="none" strike="noStrike">
                <a:solidFill>
                  <a:srgbClr val="000000"/>
                </a:solidFill>
                <a:latin typeface="Calibri"/>
                <a:ea typeface="Calibri"/>
                <a:cs typeface="Calibri"/>
              </a:rPr>
              <a:t>Cross River</a:t>
            </a:r>
          </a:p>
          <a:p>
            <a:pPr algn="l"/>
            <a:endParaRPr lang="en-US" sz="1600" b="0" i="0" u="none" strike="noStrike">
              <a:solidFill>
                <a:srgbClr val="000000"/>
              </a:solidFill>
              <a:latin typeface="Calibri"/>
              <a:ea typeface="Calibri"/>
              <a:cs typeface="Calibri"/>
            </a:endParaRPr>
          </a:p>
          <a:p>
            <a:pPr algn="l"/>
            <a:endParaRPr lang="en-US" sz="1600" b="0" i="0" u="none" strike="noStrike">
              <a:solidFill>
                <a:srgbClr val="000000"/>
              </a:solidFill>
              <a:latin typeface="Calibri"/>
              <a:ea typeface="Calibri"/>
              <a:cs typeface="Calibri"/>
            </a:endParaRPr>
          </a:p>
          <a:p>
            <a:pPr algn="l"/>
            <a:fld id="{779E68B4-A0B7-408B-BA33-8BCCBC60F5D4}" type="TxLink">
              <a:rPr lang="en-US" sz="1600" b="0" i="0" u="none" strike="noStrike">
                <a:solidFill>
                  <a:srgbClr val="000000"/>
                </a:solidFill>
                <a:latin typeface="Calibri"/>
                <a:ea typeface="Calibri"/>
                <a:cs typeface="Calibri"/>
              </a:rPr>
              <a:pPr algn="l"/>
              <a:t>▲394%</a:t>
            </a:fld>
            <a:endParaRPr lang="en-GB" sz="1600"/>
          </a:p>
        </xdr:txBody>
      </xdr:sp>
      <xdr:sp macro="" textlink="percentage2">
        <xdr:nvSpPr>
          <xdr:cNvPr id="15" name="Rectangle: Rounded Corners 14">
            <a:extLst>
              <a:ext uri="{FF2B5EF4-FFF2-40B4-BE49-F238E27FC236}">
                <a16:creationId xmlns:a16="http://schemas.microsoft.com/office/drawing/2014/main" id="{B643CD85-0ACA-4807-9D14-CAE1EC9FF9D7}"/>
              </a:ext>
            </a:extLst>
          </xdr:cNvPr>
          <xdr:cNvSpPr/>
        </xdr:nvSpPr>
        <xdr:spPr>
          <a:xfrm>
            <a:off x="3154680" y="2276891"/>
            <a:ext cx="1078612" cy="1035076"/>
          </a:xfrm>
          <a:prstGeom prst="roundRect">
            <a:avLst>
              <a:gd name="adj" fmla="val 10551"/>
            </a:avLst>
          </a:prstGeom>
          <a:solidFill>
            <a:srgbClr val="F8F9FA">
              <a:alpha val="44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0" i="0" u="none" strike="noStrike">
              <a:solidFill>
                <a:srgbClr val="000000"/>
              </a:solidFill>
              <a:latin typeface="Calibri"/>
              <a:ea typeface="Calibri"/>
              <a:cs typeface="Calibri"/>
            </a:endParaRPr>
          </a:p>
          <a:p>
            <a:pPr algn="l"/>
            <a:r>
              <a:rPr lang="en-US" sz="1600" b="0" i="0" u="none" strike="noStrike">
                <a:solidFill>
                  <a:srgbClr val="000000"/>
                </a:solidFill>
                <a:latin typeface="Calibri"/>
                <a:ea typeface="Calibri"/>
                <a:cs typeface="Calibri"/>
              </a:rPr>
              <a:t>Lagos</a:t>
            </a:r>
          </a:p>
          <a:p>
            <a:pPr algn="l"/>
            <a:endParaRPr lang="en-US" sz="1600" b="0" i="0" u="none" strike="noStrike">
              <a:solidFill>
                <a:srgbClr val="000000"/>
              </a:solidFill>
              <a:latin typeface="Calibri"/>
              <a:ea typeface="Calibri"/>
              <a:cs typeface="Calibri"/>
            </a:endParaRPr>
          </a:p>
          <a:p>
            <a:pPr algn="l"/>
            <a:endParaRPr lang="en-US" sz="1600" b="0" i="0" u="none" strike="noStrike">
              <a:solidFill>
                <a:srgbClr val="000000"/>
              </a:solidFill>
              <a:latin typeface="Calibri"/>
              <a:ea typeface="Calibri"/>
              <a:cs typeface="Calibri"/>
            </a:endParaRPr>
          </a:p>
          <a:p>
            <a:pPr algn="l"/>
            <a:fld id="{DCA5528B-DCA0-4200-9A0F-6DF980025BA1}" type="TxLink">
              <a:rPr lang="en-US" sz="1600" b="0" i="0" u="none" strike="noStrike">
                <a:solidFill>
                  <a:srgbClr val="000000"/>
                </a:solidFill>
                <a:latin typeface="Calibri"/>
                <a:ea typeface="Calibri"/>
                <a:cs typeface="Calibri"/>
              </a:rPr>
              <a:pPr algn="l"/>
              <a:t>▲400%</a:t>
            </a:fld>
            <a:endParaRPr lang="en-GB" sz="1600"/>
          </a:p>
        </xdr:txBody>
      </xdr:sp>
      <xdr:sp macro="" textlink="Percentage4">
        <xdr:nvSpPr>
          <xdr:cNvPr id="35" name="Rectangle: Rounded Corners 34">
            <a:extLst>
              <a:ext uri="{FF2B5EF4-FFF2-40B4-BE49-F238E27FC236}">
                <a16:creationId xmlns:a16="http://schemas.microsoft.com/office/drawing/2014/main" id="{D0C20CD8-F7EA-43F9-84BC-0FC55B463F69}"/>
              </a:ext>
            </a:extLst>
          </xdr:cNvPr>
          <xdr:cNvSpPr/>
        </xdr:nvSpPr>
        <xdr:spPr>
          <a:xfrm>
            <a:off x="5585460" y="2254031"/>
            <a:ext cx="1078612" cy="1035076"/>
          </a:xfrm>
          <a:prstGeom prst="roundRect">
            <a:avLst>
              <a:gd name="adj" fmla="val 10551"/>
            </a:avLst>
          </a:prstGeom>
          <a:solidFill>
            <a:srgbClr val="F8F9FA">
              <a:alpha val="44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0" i="0" u="none" strike="noStrike">
              <a:solidFill>
                <a:srgbClr val="000000"/>
              </a:solidFill>
              <a:latin typeface="Calibri"/>
              <a:ea typeface="Calibri"/>
              <a:cs typeface="Calibri"/>
            </a:endParaRPr>
          </a:p>
          <a:p>
            <a:pPr algn="l"/>
            <a:r>
              <a:rPr lang="en-US" sz="1600" b="0" i="0" u="none" strike="noStrike">
                <a:solidFill>
                  <a:srgbClr val="000000"/>
                </a:solidFill>
                <a:latin typeface="Calibri"/>
                <a:ea typeface="Calibri"/>
                <a:cs typeface="Calibri"/>
              </a:rPr>
              <a:t>Sokoto</a:t>
            </a:r>
          </a:p>
          <a:p>
            <a:pPr algn="l"/>
            <a:endParaRPr lang="en-US" sz="1600" b="0" i="0" u="none" strike="noStrike">
              <a:solidFill>
                <a:srgbClr val="000000"/>
              </a:solidFill>
              <a:latin typeface="Calibri"/>
              <a:ea typeface="Calibri"/>
              <a:cs typeface="Calibri"/>
            </a:endParaRPr>
          </a:p>
          <a:p>
            <a:pPr algn="l"/>
            <a:endParaRPr lang="en-US" sz="1600" b="0" i="0" u="none" strike="noStrike">
              <a:solidFill>
                <a:srgbClr val="000000"/>
              </a:solidFill>
              <a:latin typeface="Calibri"/>
              <a:ea typeface="Calibri"/>
              <a:cs typeface="Calibri"/>
            </a:endParaRPr>
          </a:p>
          <a:p>
            <a:pPr algn="l"/>
            <a:fld id="{A97AB5C6-E93D-406A-BD32-08F66924F620}" type="TxLink">
              <a:rPr lang="en-US" sz="1600" b="0" i="0" u="none" strike="noStrike">
                <a:solidFill>
                  <a:srgbClr val="000000"/>
                </a:solidFill>
                <a:latin typeface="Calibri"/>
                <a:ea typeface="Calibri"/>
                <a:cs typeface="Calibri"/>
              </a:rPr>
              <a:pPr algn="l"/>
              <a:t>▲643%</a:t>
            </a:fld>
            <a:endParaRPr lang="en-GB" sz="1600"/>
          </a:p>
        </xdr:txBody>
      </xdr:sp>
      <mc:AlternateContent xmlns:mc="http://schemas.openxmlformats.org/markup-compatibility/2006">
        <mc:Choice xmlns:a14="http://schemas.microsoft.com/office/drawing/2010/main" Requires="a14">
          <xdr:graphicFrame macro="">
            <xdr:nvGraphicFramePr>
              <xdr:cNvPr id="46" name="Year 1">
                <a:extLst>
                  <a:ext uri="{FF2B5EF4-FFF2-40B4-BE49-F238E27FC236}">
                    <a16:creationId xmlns:a16="http://schemas.microsoft.com/office/drawing/2014/main" id="{E0CE4172-B790-4CA5-B70D-92A285D1049A}"/>
                  </a:ext>
                </a:extLst>
              </xdr:cNvPr>
              <xdr:cNvGraphicFramePr/>
            </xdr:nvGraphicFramePr>
            <xdr:xfrm>
              <a:off x="15699106" y="914400"/>
              <a:ext cx="2148840" cy="38862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3992338" y="1532362"/>
                <a:ext cx="3422669" cy="753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Month 1">
                <a:extLst>
                  <a:ext uri="{FF2B5EF4-FFF2-40B4-BE49-F238E27FC236}">
                    <a16:creationId xmlns:a16="http://schemas.microsoft.com/office/drawing/2014/main" id="{34C24D57-61DB-4C54-A5BD-5E673DA396B3}"/>
                  </a:ext>
                </a:extLst>
              </xdr:cNvPr>
              <xdr:cNvGraphicFramePr>
                <a:graphicFrameLocks/>
              </xdr:cNvGraphicFramePr>
            </xdr:nvGraphicFramePr>
            <xdr:xfrm>
              <a:off x="12134030" y="480063"/>
              <a:ext cx="3220270" cy="861057"/>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8313891" y="690490"/>
                <a:ext cx="5129241" cy="1668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IFE\Downloads\YOUTUB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rniture_data"/>
      <sheetName val="CALCULATIONS"/>
      <sheetName val="DASHBOARD"/>
    </sheetNames>
    <sheetDataSet>
      <sheetData sheetId="0"/>
      <sheetData sheetId="1">
        <row r="8">
          <cell r="I8">
            <v>4616.7326000000012</v>
          </cell>
          <cell r="M8" t="str">
            <v>▼55% YoY</v>
          </cell>
        </row>
      </sheetData>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FE" refreshedDate="45845.838857870367" createdVersion="6" refreshedVersion="6" minRefreshableVersion="3" recordCount="1064" xr:uid="{FA7CA534-25B8-41A9-81A4-DD4F3566D5FD}">
  <cacheSource type="worksheet">
    <worksheetSource name="Table1_1"/>
  </cacheSource>
  <cacheFields count="7">
    <cacheField name="State " numFmtId="0">
      <sharedItems count="38">
        <s v="Sokoto"/>
        <s v="Plateau"/>
        <s v="Borno"/>
        <s v="Abuja"/>
        <s v="Kaduna"/>
        <s v="Benue"/>
        <s v="Nassarawa"/>
        <s v="Niger"/>
        <s v="Yobe"/>
        <s v="Bauchi"/>
        <s v="Adamawa"/>
        <s v="Anambra"/>
        <s v="Rivers"/>
        <s v="Bayelsa"/>
        <s v="Edo"/>
        <s v="Kogi"/>
        <s v="Akwa Ibom"/>
        <s v="Kwara"/>
        <s v="Ogun"/>
        <s v="Lagos"/>
        <s v="Oyo"/>
        <s v="Zamfara"/>
        <s v="Cross River"/>
        <s v="Gombe"/>
        <s v="Abia"/>
        <s v="Delta"/>
        <s v="Osun"/>
        <s v="Kano"/>
        <s v="Taraba"/>
        <s v="Ondo"/>
        <s v="Ebonyi"/>
        <s v="Avg"/>
        <s v="Ekiti"/>
        <s v="Katsina"/>
        <s v="Jigawa"/>
        <s v="Kebbi"/>
        <s v="Enugu"/>
        <s v="Imo"/>
      </sharedItems>
    </cacheField>
    <cacheField name="DATE" numFmtId="14">
      <sharedItems containsNonDate="0" containsDate="1" containsString="0" containsBlank="1" minDate="2023-01-01T00:00:00" maxDate="2025-04-02T00:00:00" count="29">
        <d v="2023-01-01T00:00:00"/>
        <d v="2023-05-01T00:00:00"/>
        <d v="2023-04-01T00:00:00"/>
        <d v="2023-03-01T00:00:00"/>
        <d v="2023-02-01T00:00:00"/>
        <m/>
        <d v="2023-07-01T00:00:00"/>
        <d v="2023-06-01T00:00:00"/>
        <d v="2023-10-01T00:00:00"/>
        <d v="2023-08-01T00:00:00"/>
        <d v="2023-09-01T00:00:00"/>
        <d v="2024-04-01T00:00:00"/>
        <d v="2023-12-01T00:00:00"/>
        <d v="2024-01-01T00:00:00"/>
        <d v="2023-11-01T00:00:00"/>
        <d v="2024-06-01T00:00:00"/>
        <d v="2024-03-01T00:00:00"/>
        <d v="2024-05-01T00:00:00"/>
        <d v="2024-07-01T00:00:00"/>
        <d v="2024-02-01T00:00:00"/>
        <d v="2024-08-01T00:00:00"/>
        <d v="2024-09-01T00:00:00"/>
        <d v="2025-01-01T00:00:00"/>
        <d v="2025-02-01T00:00:00"/>
        <d v="2025-03-01T00:00:00"/>
        <d v="2025-04-01T00:00:00"/>
        <d v="2024-10-01T00:00:00"/>
        <d v="2024-12-01T00:00:00"/>
        <d v="2024-11-01T00:00:00"/>
      </sharedItems>
      <fieldGroup par="6" base="1">
        <rangePr groupBy="months" startDate="2023-01-01T00:00:00" endDate="2025-04-02T00:00:00"/>
        <groupItems count="14">
          <s v="(blank)"/>
          <s v="Jan"/>
          <s v="Feb"/>
          <s v="Mar"/>
          <s v="Apr"/>
          <s v="May"/>
          <s v="Jun"/>
          <s v="Jul"/>
          <s v="Aug"/>
          <s v="Sep"/>
          <s v="Oct"/>
          <s v="Nov"/>
          <s v="Dec"/>
          <s v="&gt;02/04/2025"/>
        </groupItems>
      </fieldGroup>
    </cacheField>
    <cacheField name="PRICE" numFmtId="164">
      <sharedItems containsSemiMixedTypes="0" containsString="0" containsNumber="1" minValue="191.42859999999999" maxValue="1730"/>
    </cacheField>
    <cacheField name="Month" numFmtId="0">
      <sharedItems containsBlank="1" count="13">
        <s v="January"/>
        <s v="May"/>
        <s v="April"/>
        <s v="March"/>
        <s v="February"/>
        <m/>
        <s v="July"/>
        <s v="June"/>
        <s v="October"/>
        <s v="August"/>
        <s v="September"/>
        <s v="December"/>
        <s v="November"/>
      </sharedItems>
    </cacheField>
    <cacheField name="Year" numFmtId="0">
      <sharedItems containsString="0" containsBlank="1" containsNumber="1" containsInteger="1" minValue="2023" maxValue="2025" count="4">
        <n v="2023"/>
        <m/>
        <n v="2024"/>
        <n v="2025"/>
      </sharedItems>
    </cacheField>
    <cacheField name="Quarters" numFmtId="0" databaseField="0">
      <fieldGroup base="1">
        <rangePr groupBy="quarters" startDate="2023-01-01T00:00:00" endDate="2025-04-02T00:00:00"/>
        <groupItems count="6">
          <s v="&lt;01/01/2023"/>
          <s v="Qtr1"/>
          <s v="Qtr2"/>
          <s v="Qtr3"/>
          <s v="Qtr4"/>
          <s v="&gt;02/04/2025"/>
        </groupItems>
      </fieldGroup>
    </cacheField>
    <cacheField name="Years" numFmtId="0" databaseField="0">
      <fieldGroup base="1">
        <rangePr groupBy="years" startDate="2023-01-01T00:00:00" endDate="2025-04-02T00:00:00"/>
        <groupItems count="5">
          <s v="&lt;01/01/2023"/>
          <s v="2023"/>
          <s v="2024"/>
          <s v="2025"/>
          <s v="&gt;02/04/2025"/>
        </groupItems>
      </fieldGroup>
    </cacheField>
  </cacheFields>
  <extLst>
    <ext xmlns:x14="http://schemas.microsoft.com/office/spreadsheetml/2009/9/main" uri="{725AE2AE-9491-48be-B2B4-4EB974FC3084}">
      <x14:pivotCacheDefinition pivotCacheId="1083979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4">
  <r>
    <x v="0"/>
    <x v="0"/>
    <n v="191.42859999999999"/>
    <x v="0"/>
    <x v="0"/>
  </r>
  <r>
    <x v="1"/>
    <x v="0"/>
    <n v="192.1429"/>
    <x v="0"/>
    <x v="0"/>
  </r>
  <r>
    <x v="2"/>
    <x v="0"/>
    <n v="193.9091"/>
    <x v="0"/>
    <x v="0"/>
  </r>
  <r>
    <x v="3"/>
    <x v="1"/>
    <n v="195"/>
    <x v="1"/>
    <x v="0"/>
  </r>
  <r>
    <x v="4"/>
    <x v="2"/>
    <n v="195"/>
    <x v="2"/>
    <x v="0"/>
  </r>
  <r>
    <x v="5"/>
    <x v="3"/>
    <n v="195"/>
    <x v="3"/>
    <x v="0"/>
  </r>
  <r>
    <x v="1"/>
    <x v="3"/>
    <n v="196.78569999999999"/>
    <x v="3"/>
    <x v="0"/>
  </r>
  <r>
    <x v="6"/>
    <x v="3"/>
    <n v="197.5"/>
    <x v="3"/>
    <x v="0"/>
  </r>
  <r>
    <x v="3"/>
    <x v="2"/>
    <n v="198.125"/>
    <x v="2"/>
    <x v="0"/>
  </r>
  <r>
    <x v="7"/>
    <x v="3"/>
    <n v="198.5"/>
    <x v="3"/>
    <x v="0"/>
  </r>
  <r>
    <x v="7"/>
    <x v="4"/>
    <n v="198.5"/>
    <x v="4"/>
    <x v="0"/>
  </r>
  <r>
    <x v="1"/>
    <x v="4"/>
    <n v="198.71430000000001"/>
    <x v="4"/>
    <x v="0"/>
  </r>
  <r>
    <x v="3"/>
    <x v="4"/>
    <n v="200"/>
    <x v="4"/>
    <x v="0"/>
  </r>
  <r>
    <x v="5"/>
    <x v="4"/>
    <n v="200"/>
    <x v="4"/>
    <x v="0"/>
  </r>
  <r>
    <x v="0"/>
    <x v="4"/>
    <n v="200"/>
    <x v="4"/>
    <x v="0"/>
  </r>
  <r>
    <x v="7"/>
    <x v="1"/>
    <n v="201.81819999999999"/>
    <x v="1"/>
    <x v="0"/>
  </r>
  <r>
    <x v="8"/>
    <x v="3"/>
    <n v="202.5"/>
    <x v="3"/>
    <x v="0"/>
  </r>
  <r>
    <x v="5"/>
    <x v="0"/>
    <n v="202.5"/>
    <x v="0"/>
    <x v="0"/>
  </r>
  <r>
    <x v="1"/>
    <x v="1"/>
    <n v="203.33330000000001"/>
    <x v="1"/>
    <x v="0"/>
  </r>
  <r>
    <x v="0"/>
    <x v="1"/>
    <n v="203.66669999999999"/>
    <x v="1"/>
    <x v="0"/>
  </r>
  <r>
    <x v="9"/>
    <x v="1"/>
    <n v="205.5556"/>
    <x v="1"/>
    <x v="0"/>
  </r>
  <r>
    <x v="6"/>
    <x v="4"/>
    <n v="205.91669999999999"/>
    <x v="4"/>
    <x v="0"/>
  </r>
  <r>
    <x v="10"/>
    <x v="2"/>
    <n v="206.11109999999999"/>
    <x v="2"/>
    <x v="0"/>
  </r>
  <r>
    <x v="11"/>
    <x v="2"/>
    <n v="207.5"/>
    <x v="2"/>
    <x v="0"/>
  </r>
  <r>
    <x v="12"/>
    <x v="2"/>
    <n v="207.71430000000001"/>
    <x v="2"/>
    <x v="0"/>
  </r>
  <r>
    <x v="9"/>
    <x v="2"/>
    <n v="208"/>
    <x v="2"/>
    <x v="0"/>
  </r>
  <r>
    <x v="5"/>
    <x v="1"/>
    <n v="208.125"/>
    <x v="1"/>
    <x v="0"/>
  </r>
  <r>
    <x v="0"/>
    <x v="3"/>
    <n v="208.57140000000001"/>
    <x v="3"/>
    <x v="0"/>
  </r>
  <r>
    <x v="13"/>
    <x v="2"/>
    <n v="210"/>
    <x v="2"/>
    <x v="0"/>
  </r>
  <r>
    <x v="14"/>
    <x v="2"/>
    <n v="210"/>
    <x v="2"/>
    <x v="0"/>
  </r>
  <r>
    <x v="15"/>
    <x v="3"/>
    <n v="210"/>
    <x v="3"/>
    <x v="0"/>
  </r>
  <r>
    <x v="16"/>
    <x v="2"/>
    <n v="212"/>
    <x v="2"/>
    <x v="0"/>
  </r>
  <r>
    <x v="17"/>
    <x v="1"/>
    <n v="212.5"/>
    <x v="1"/>
    <x v="0"/>
  </r>
  <r>
    <x v="18"/>
    <x v="1"/>
    <n v="212.69229999999999"/>
    <x v="1"/>
    <x v="0"/>
  </r>
  <r>
    <x v="19"/>
    <x v="3"/>
    <n v="212.75"/>
    <x v="3"/>
    <x v="0"/>
  </r>
  <r>
    <x v="7"/>
    <x v="0"/>
    <n v="213"/>
    <x v="0"/>
    <x v="0"/>
  </r>
  <r>
    <x v="19"/>
    <x v="1"/>
    <n v="213.88890000000001"/>
    <x v="1"/>
    <x v="0"/>
  </r>
  <r>
    <x v="2"/>
    <x v="4"/>
    <n v="214.5455"/>
    <x v="4"/>
    <x v="0"/>
  </r>
  <r>
    <x v="17"/>
    <x v="3"/>
    <n v="215"/>
    <x v="3"/>
    <x v="0"/>
  </r>
  <r>
    <x v="8"/>
    <x v="0"/>
    <n v="215.28569999999999"/>
    <x v="0"/>
    <x v="0"/>
  </r>
  <r>
    <x v="20"/>
    <x v="1"/>
    <n v="215.38460000000001"/>
    <x v="1"/>
    <x v="0"/>
  </r>
  <r>
    <x v="14"/>
    <x v="4"/>
    <n v="215.71430000000001"/>
    <x v="4"/>
    <x v="0"/>
  </r>
  <r>
    <x v="8"/>
    <x v="1"/>
    <n v="216.36359999999999"/>
    <x v="1"/>
    <x v="0"/>
  </r>
  <r>
    <x v="21"/>
    <x v="2"/>
    <n v="217.05879999999999"/>
    <x v="2"/>
    <x v="0"/>
  </r>
  <r>
    <x v="6"/>
    <x v="0"/>
    <n v="217.5"/>
    <x v="0"/>
    <x v="0"/>
  </r>
  <r>
    <x v="6"/>
    <x v="1"/>
    <n v="220"/>
    <x v="1"/>
    <x v="0"/>
  </r>
  <r>
    <x v="22"/>
    <x v="4"/>
    <n v="220"/>
    <x v="4"/>
    <x v="0"/>
  </r>
  <r>
    <x v="23"/>
    <x v="0"/>
    <n v="220"/>
    <x v="0"/>
    <x v="0"/>
  </r>
  <r>
    <x v="15"/>
    <x v="1"/>
    <n v="220.38460000000001"/>
    <x v="1"/>
    <x v="0"/>
  </r>
  <r>
    <x v="24"/>
    <x v="2"/>
    <n v="220.45"/>
    <x v="2"/>
    <x v="0"/>
  </r>
  <r>
    <x v="3"/>
    <x v="3"/>
    <n v="222.9091"/>
    <x v="3"/>
    <x v="0"/>
  </r>
  <r>
    <x v="11"/>
    <x v="1"/>
    <n v="224.28569999999999"/>
    <x v="1"/>
    <x v="0"/>
  </r>
  <r>
    <x v="25"/>
    <x v="1"/>
    <n v="225"/>
    <x v="1"/>
    <x v="0"/>
  </r>
  <r>
    <x v="20"/>
    <x v="3"/>
    <n v="225.33330000000001"/>
    <x v="3"/>
    <x v="0"/>
  </r>
  <r>
    <x v="26"/>
    <x v="1"/>
    <n v="226.18180000000001"/>
    <x v="1"/>
    <x v="0"/>
  </r>
  <r>
    <x v="0"/>
    <x v="2"/>
    <n v="227.69229999999999"/>
    <x v="2"/>
    <x v="0"/>
  </r>
  <r>
    <x v="3"/>
    <x v="0"/>
    <n v="229"/>
    <x v="0"/>
    <x v="0"/>
  </r>
  <r>
    <x v="27"/>
    <x v="1"/>
    <n v="229.3158"/>
    <x v="1"/>
    <x v="0"/>
  </r>
  <r>
    <x v="17"/>
    <x v="0"/>
    <n v="229.375"/>
    <x v="0"/>
    <x v="0"/>
  </r>
  <r>
    <x v="22"/>
    <x v="1"/>
    <n v="230"/>
    <x v="1"/>
    <x v="0"/>
  </r>
  <r>
    <x v="28"/>
    <x v="2"/>
    <n v="231.0625"/>
    <x v="2"/>
    <x v="0"/>
  </r>
  <r>
    <x v="14"/>
    <x v="1"/>
    <n v="231.42859999999999"/>
    <x v="1"/>
    <x v="0"/>
  </r>
  <r>
    <x v="13"/>
    <x v="4"/>
    <n v="231.42859999999999"/>
    <x v="4"/>
    <x v="0"/>
  </r>
  <r>
    <x v="8"/>
    <x v="2"/>
    <n v="231.66669999999999"/>
    <x v="2"/>
    <x v="0"/>
  </r>
  <r>
    <x v="1"/>
    <x v="2"/>
    <n v="232.5"/>
    <x v="2"/>
    <x v="0"/>
  </r>
  <r>
    <x v="29"/>
    <x v="1"/>
    <n v="232.75"/>
    <x v="1"/>
    <x v="0"/>
  </r>
  <r>
    <x v="25"/>
    <x v="4"/>
    <n v="233.57140000000001"/>
    <x v="4"/>
    <x v="0"/>
  </r>
  <r>
    <x v="30"/>
    <x v="1"/>
    <n v="235"/>
    <x v="1"/>
    <x v="0"/>
  </r>
  <r>
    <x v="21"/>
    <x v="0"/>
    <n v="235.42859999999999"/>
    <x v="0"/>
    <x v="0"/>
  </r>
  <r>
    <x v="24"/>
    <x v="1"/>
    <n v="236.25"/>
    <x v="1"/>
    <x v="0"/>
  </r>
  <r>
    <x v="15"/>
    <x v="4"/>
    <n v="236.5385"/>
    <x v="4"/>
    <x v="0"/>
  </r>
  <r>
    <x v="15"/>
    <x v="0"/>
    <n v="236.5385"/>
    <x v="0"/>
    <x v="0"/>
  </r>
  <r>
    <x v="31"/>
    <x v="1"/>
    <n v="238.11330000000001"/>
    <x v="1"/>
    <x v="0"/>
  </r>
  <r>
    <x v="18"/>
    <x v="0"/>
    <n v="238.1481"/>
    <x v="0"/>
    <x v="0"/>
  </r>
  <r>
    <x v="10"/>
    <x v="1"/>
    <n v="238.88890000000001"/>
    <x v="1"/>
    <x v="0"/>
  </r>
  <r>
    <x v="16"/>
    <x v="1"/>
    <n v="239"/>
    <x v="1"/>
    <x v="0"/>
  </r>
  <r>
    <x v="32"/>
    <x v="3"/>
    <n v="239.28569999999999"/>
    <x v="3"/>
    <x v="0"/>
  </r>
  <r>
    <x v="32"/>
    <x v="1"/>
    <n v="240.88239999999999"/>
    <x v="1"/>
    <x v="0"/>
  </r>
  <r>
    <x v="29"/>
    <x v="3"/>
    <n v="241.33330000000001"/>
    <x v="3"/>
    <x v="0"/>
  </r>
  <r>
    <x v="29"/>
    <x v="2"/>
    <n v="241.66669999999999"/>
    <x v="2"/>
    <x v="0"/>
  </r>
  <r>
    <x v="18"/>
    <x v="3"/>
    <n v="241.9"/>
    <x v="3"/>
    <x v="0"/>
  </r>
  <r>
    <x v="21"/>
    <x v="1"/>
    <n v="243.27269999999999"/>
    <x v="1"/>
    <x v="0"/>
  </r>
  <r>
    <x v="9"/>
    <x v="0"/>
    <n v="245.4"/>
    <x v="0"/>
    <x v="0"/>
  </r>
  <r>
    <x v="19"/>
    <x v="0"/>
    <n v="245.42859999999999"/>
    <x v="0"/>
    <x v="0"/>
  </r>
  <r>
    <x v="33"/>
    <x v="0"/>
    <n v="246.11109999999999"/>
    <x v="0"/>
    <x v="0"/>
  </r>
  <r>
    <x v="34"/>
    <x v="2"/>
    <n v="247.2"/>
    <x v="2"/>
    <x v="0"/>
  </r>
  <r>
    <x v="26"/>
    <x v="3"/>
    <n v="248"/>
    <x v="3"/>
    <x v="0"/>
  </r>
  <r>
    <x v="2"/>
    <x v="1"/>
    <n v="248.18180000000001"/>
    <x v="1"/>
    <x v="0"/>
  </r>
  <r>
    <x v="23"/>
    <x v="4"/>
    <n v="249"/>
    <x v="4"/>
    <x v="0"/>
  </r>
  <r>
    <x v="29"/>
    <x v="0"/>
    <n v="249.4444"/>
    <x v="0"/>
    <x v="0"/>
  </r>
  <r>
    <x v="13"/>
    <x v="1"/>
    <n v="250"/>
    <x v="1"/>
    <x v="0"/>
  </r>
  <r>
    <x v="9"/>
    <x v="4"/>
    <n v="250"/>
    <x v="4"/>
    <x v="0"/>
  </r>
  <r>
    <x v="8"/>
    <x v="4"/>
    <n v="250"/>
    <x v="4"/>
    <x v="0"/>
  </r>
  <r>
    <x v="12"/>
    <x v="1"/>
    <n v="250.41669999999999"/>
    <x v="1"/>
    <x v="0"/>
  </r>
  <r>
    <x v="26"/>
    <x v="2"/>
    <n v="251.875"/>
    <x v="2"/>
    <x v="0"/>
  </r>
  <r>
    <x v="21"/>
    <x v="4"/>
    <n v="252.08330000000001"/>
    <x v="4"/>
    <x v="0"/>
  </r>
  <r>
    <x v="20"/>
    <x v="0"/>
    <n v="252.29169999999999"/>
    <x v="0"/>
    <x v="0"/>
  </r>
  <r>
    <x v="31"/>
    <x v="2"/>
    <n v="254.05619999999999"/>
    <x v="2"/>
    <x v="0"/>
  </r>
  <r>
    <x v="33"/>
    <x v="1"/>
    <n v="254.28569999999999"/>
    <x v="1"/>
    <x v="0"/>
  </r>
  <r>
    <x v="16"/>
    <x v="4"/>
    <n v="255.5"/>
    <x v="4"/>
    <x v="0"/>
  </r>
  <r>
    <x v="2"/>
    <x v="2"/>
    <n v="256.25"/>
    <x v="2"/>
    <x v="0"/>
  </r>
  <r>
    <x v="31"/>
    <x v="5"/>
    <n v="257.11869999999999"/>
    <x v="5"/>
    <x v="1"/>
  </r>
  <r>
    <x v="32"/>
    <x v="0"/>
    <n v="257.36840000000001"/>
    <x v="0"/>
    <x v="0"/>
  </r>
  <r>
    <x v="28"/>
    <x v="4"/>
    <n v="258.88889999999998"/>
    <x v="4"/>
    <x v="0"/>
  </r>
  <r>
    <x v="28"/>
    <x v="0"/>
    <n v="258.88889999999998"/>
    <x v="0"/>
    <x v="0"/>
  </r>
  <r>
    <x v="25"/>
    <x v="3"/>
    <n v="259.16669999999999"/>
    <x v="3"/>
    <x v="0"/>
  </r>
  <r>
    <x v="10"/>
    <x v="0"/>
    <n v="260.5"/>
    <x v="0"/>
    <x v="0"/>
  </r>
  <r>
    <x v="35"/>
    <x v="3"/>
    <n v="261.16669999999999"/>
    <x v="3"/>
    <x v="0"/>
  </r>
  <r>
    <x v="22"/>
    <x v="0"/>
    <n v="261.66669999999999"/>
    <x v="0"/>
    <x v="0"/>
  </r>
  <r>
    <x v="26"/>
    <x v="0"/>
    <n v="262.125"/>
    <x v="0"/>
    <x v="0"/>
  </r>
  <r>
    <x v="36"/>
    <x v="2"/>
    <n v="262.30770000000001"/>
    <x v="2"/>
    <x v="0"/>
  </r>
  <r>
    <x v="22"/>
    <x v="3"/>
    <n v="263.33330000000001"/>
    <x v="3"/>
    <x v="0"/>
  </r>
  <r>
    <x v="31"/>
    <x v="4"/>
    <n v="263.75569999999999"/>
    <x v="4"/>
    <x v="0"/>
  </r>
  <r>
    <x v="31"/>
    <x v="3"/>
    <n v="264.28960000000001"/>
    <x v="3"/>
    <x v="0"/>
  </r>
  <r>
    <x v="17"/>
    <x v="4"/>
    <n v="265.41669999999999"/>
    <x v="4"/>
    <x v="0"/>
  </r>
  <r>
    <x v="18"/>
    <x v="2"/>
    <n v="267.22219999999999"/>
    <x v="2"/>
    <x v="0"/>
  </r>
  <r>
    <x v="27"/>
    <x v="2"/>
    <n v="267.72730000000001"/>
    <x v="2"/>
    <x v="0"/>
  </r>
  <r>
    <x v="25"/>
    <x v="0"/>
    <n v="268.33330000000001"/>
    <x v="0"/>
    <x v="0"/>
  </r>
  <r>
    <x v="35"/>
    <x v="0"/>
    <n v="270.875"/>
    <x v="0"/>
    <x v="0"/>
  </r>
  <r>
    <x v="35"/>
    <x v="2"/>
    <n v="271.81819999999999"/>
    <x v="2"/>
    <x v="0"/>
  </r>
  <r>
    <x v="9"/>
    <x v="3"/>
    <n v="273"/>
    <x v="3"/>
    <x v="0"/>
  </r>
  <r>
    <x v="23"/>
    <x v="2"/>
    <n v="273.33330000000001"/>
    <x v="2"/>
    <x v="0"/>
  </r>
  <r>
    <x v="27"/>
    <x v="4"/>
    <n v="275.5"/>
    <x v="4"/>
    <x v="0"/>
  </r>
  <r>
    <x v="14"/>
    <x v="3"/>
    <n v="276.42860000000002"/>
    <x v="3"/>
    <x v="0"/>
  </r>
  <r>
    <x v="35"/>
    <x v="4"/>
    <n v="278.18180000000001"/>
    <x v="4"/>
    <x v="0"/>
  </r>
  <r>
    <x v="4"/>
    <x v="1"/>
    <n v="280"/>
    <x v="1"/>
    <x v="0"/>
  </r>
  <r>
    <x v="33"/>
    <x v="4"/>
    <n v="280.375"/>
    <x v="4"/>
    <x v="0"/>
  </r>
  <r>
    <x v="18"/>
    <x v="4"/>
    <n v="280.57139999999998"/>
    <x v="4"/>
    <x v="0"/>
  </r>
  <r>
    <x v="4"/>
    <x v="0"/>
    <n v="281.07139999999998"/>
    <x v="0"/>
    <x v="0"/>
  </r>
  <r>
    <x v="14"/>
    <x v="0"/>
    <n v="281.42860000000002"/>
    <x v="0"/>
    <x v="0"/>
  </r>
  <r>
    <x v="34"/>
    <x v="0"/>
    <n v="281.42860000000002"/>
    <x v="0"/>
    <x v="0"/>
  </r>
  <r>
    <x v="20"/>
    <x v="2"/>
    <n v="282.22219999999999"/>
    <x v="2"/>
    <x v="0"/>
  </r>
  <r>
    <x v="7"/>
    <x v="2"/>
    <n v="282.5"/>
    <x v="2"/>
    <x v="0"/>
  </r>
  <r>
    <x v="33"/>
    <x v="2"/>
    <n v="284.28570000000002"/>
    <x v="2"/>
    <x v="0"/>
  </r>
  <r>
    <x v="11"/>
    <x v="3"/>
    <n v="286.11110000000002"/>
    <x v="3"/>
    <x v="0"/>
  </r>
  <r>
    <x v="30"/>
    <x v="0"/>
    <n v="286.36360000000002"/>
    <x v="0"/>
    <x v="0"/>
  </r>
  <r>
    <x v="27"/>
    <x v="0"/>
    <n v="286.36360000000002"/>
    <x v="0"/>
    <x v="0"/>
  </r>
  <r>
    <x v="35"/>
    <x v="1"/>
    <n v="286.39999999999998"/>
    <x v="1"/>
    <x v="0"/>
  </r>
  <r>
    <x v="29"/>
    <x v="4"/>
    <n v="286.875"/>
    <x v="4"/>
    <x v="0"/>
  </r>
  <r>
    <x v="36"/>
    <x v="1"/>
    <n v="287.66669999999999"/>
    <x v="1"/>
    <x v="0"/>
  </r>
  <r>
    <x v="24"/>
    <x v="4"/>
    <n v="288.57139999999998"/>
    <x v="4"/>
    <x v="0"/>
  </r>
  <r>
    <x v="4"/>
    <x v="3"/>
    <n v="288.92860000000002"/>
    <x v="3"/>
    <x v="0"/>
  </r>
  <r>
    <x v="22"/>
    <x v="2"/>
    <n v="289.09089999999998"/>
    <x v="2"/>
    <x v="0"/>
  </r>
  <r>
    <x v="27"/>
    <x v="3"/>
    <n v="290.41669999999999"/>
    <x v="3"/>
    <x v="0"/>
  </r>
  <r>
    <x v="12"/>
    <x v="3"/>
    <n v="290.88889999999998"/>
    <x v="3"/>
    <x v="0"/>
  </r>
  <r>
    <x v="5"/>
    <x v="2"/>
    <n v="291.25"/>
    <x v="2"/>
    <x v="0"/>
  </r>
  <r>
    <x v="15"/>
    <x v="2"/>
    <n v="291.42860000000002"/>
    <x v="2"/>
    <x v="0"/>
  </r>
  <r>
    <x v="28"/>
    <x v="1"/>
    <n v="295"/>
    <x v="1"/>
    <x v="0"/>
  </r>
  <r>
    <x v="37"/>
    <x v="2"/>
    <n v="295.44"/>
    <x v="2"/>
    <x v="0"/>
  </r>
  <r>
    <x v="6"/>
    <x v="2"/>
    <n v="295.875"/>
    <x v="2"/>
    <x v="0"/>
  </r>
  <r>
    <x v="13"/>
    <x v="3"/>
    <n v="296.5"/>
    <x v="3"/>
    <x v="0"/>
  </r>
  <r>
    <x v="34"/>
    <x v="1"/>
    <n v="297.5"/>
    <x v="1"/>
    <x v="0"/>
  </r>
  <r>
    <x v="17"/>
    <x v="2"/>
    <n v="297.64710000000002"/>
    <x v="2"/>
    <x v="0"/>
  </r>
  <r>
    <x v="23"/>
    <x v="1"/>
    <n v="299.77269999999999"/>
    <x v="1"/>
    <x v="0"/>
  </r>
  <r>
    <x v="37"/>
    <x v="1"/>
    <n v="300"/>
    <x v="1"/>
    <x v="0"/>
  </r>
  <r>
    <x v="25"/>
    <x v="2"/>
    <n v="300.51"/>
    <x v="2"/>
    <x v="0"/>
  </r>
  <r>
    <x v="24"/>
    <x v="3"/>
    <n v="300.5385"/>
    <x v="3"/>
    <x v="0"/>
  </r>
  <r>
    <x v="10"/>
    <x v="4"/>
    <n v="300.66669999999999"/>
    <x v="4"/>
    <x v="0"/>
  </r>
  <r>
    <x v="24"/>
    <x v="0"/>
    <n v="300.69229999999999"/>
    <x v="0"/>
    <x v="0"/>
  </r>
  <r>
    <x v="36"/>
    <x v="4"/>
    <n v="301.30430000000001"/>
    <x v="4"/>
    <x v="0"/>
  </r>
  <r>
    <x v="30"/>
    <x v="3"/>
    <n v="301.66669999999999"/>
    <x v="3"/>
    <x v="0"/>
  </r>
  <r>
    <x v="23"/>
    <x v="3"/>
    <n v="302"/>
    <x v="3"/>
    <x v="0"/>
  </r>
  <r>
    <x v="26"/>
    <x v="4"/>
    <n v="302.5"/>
    <x v="4"/>
    <x v="0"/>
  </r>
  <r>
    <x v="21"/>
    <x v="3"/>
    <n v="303.18180000000001"/>
    <x v="3"/>
    <x v="0"/>
  </r>
  <r>
    <x v="32"/>
    <x v="2"/>
    <n v="305"/>
    <x v="2"/>
    <x v="0"/>
  </r>
  <r>
    <x v="13"/>
    <x v="0"/>
    <n v="305"/>
    <x v="0"/>
    <x v="0"/>
  </r>
  <r>
    <x v="10"/>
    <x v="3"/>
    <n v="305.33330000000001"/>
    <x v="3"/>
    <x v="0"/>
  </r>
  <r>
    <x v="16"/>
    <x v="3"/>
    <n v="305.55560000000003"/>
    <x v="3"/>
    <x v="0"/>
  </r>
  <r>
    <x v="19"/>
    <x v="4"/>
    <n v="305.625"/>
    <x v="4"/>
    <x v="0"/>
  </r>
  <r>
    <x v="4"/>
    <x v="4"/>
    <n v="305.66669999999999"/>
    <x v="4"/>
    <x v="0"/>
  </r>
  <r>
    <x v="33"/>
    <x v="3"/>
    <n v="306.25"/>
    <x v="3"/>
    <x v="0"/>
  </r>
  <r>
    <x v="11"/>
    <x v="0"/>
    <n v="306.94439999999997"/>
    <x v="0"/>
    <x v="0"/>
  </r>
  <r>
    <x v="32"/>
    <x v="4"/>
    <n v="308.92860000000002"/>
    <x v="4"/>
    <x v="0"/>
  </r>
  <r>
    <x v="36"/>
    <x v="3"/>
    <n v="309"/>
    <x v="3"/>
    <x v="0"/>
  </r>
  <r>
    <x v="19"/>
    <x v="2"/>
    <n v="310.55"/>
    <x v="2"/>
    <x v="0"/>
  </r>
  <r>
    <x v="11"/>
    <x v="4"/>
    <n v="310.83330000000001"/>
    <x v="4"/>
    <x v="0"/>
  </r>
  <r>
    <x v="20"/>
    <x v="4"/>
    <n v="311.42860000000002"/>
    <x v="4"/>
    <x v="0"/>
  </r>
  <r>
    <x v="36"/>
    <x v="0"/>
    <n v="313.125"/>
    <x v="0"/>
    <x v="0"/>
  </r>
  <r>
    <x v="37"/>
    <x v="4"/>
    <n v="316.47059999999999"/>
    <x v="4"/>
    <x v="0"/>
  </r>
  <r>
    <x v="34"/>
    <x v="3"/>
    <n v="316.66669999999999"/>
    <x v="3"/>
    <x v="0"/>
  </r>
  <r>
    <x v="30"/>
    <x v="4"/>
    <n v="317.1429"/>
    <x v="4"/>
    <x v="0"/>
  </r>
  <r>
    <x v="16"/>
    <x v="0"/>
    <n v="319"/>
    <x v="0"/>
    <x v="0"/>
  </r>
  <r>
    <x v="30"/>
    <x v="2"/>
    <n v="320"/>
    <x v="2"/>
    <x v="0"/>
  </r>
  <r>
    <x v="12"/>
    <x v="4"/>
    <n v="323.33330000000001"/>
    <x v="4"/>
    <x v="0"/>
  </r>
  <r>
    <x v="2"/>
    <x v="3"/>
    <n v="324.5455"/>
    <x v="3"/>
    <x v="0"/>
  </r>
  <r>
    <x v="12"/>
    <x v="0"/>
    <n v="327.1429"/>
    <x v="0"/>
    <x v="0"/>
  </r>
  <r>
    <x v="34"/>
    <x v="4"/>
    <n v="329.16669999999999"/>
    <x v="4"/>
    <x v="0"/>
  </r>
  <r>
    <x v="28"/>
    <x v="3"/>
    <n v="330"/>
    <x v="3"/>
    <x v="0"/>
  </r>
  <r>
    <x v="37"/>
    <x v="0"/>
    <n v="332.1429"/>
    <x v="0"/>
    <x v="0"/>
  </r>
  <r>
    <x v="37"/>
    <x v="3"/>
    <n v="332.66669999999999"/>
    <x v="3"/>
    <x v="0"/>
  </r>
  <r>
    <x v="14"/>
    <x v="6"/>
    <n v="530"/>
    <x v="6"/>
    <x v="0"/>
  </r>
  <r>
    <x v="11"/>
    <x v="7"/>
    <n v="534.44439999999997"/>
    <x v="7"/>
    <x v="0"/>
  </r>
  <r>
    <x v="30"/>
    <x v="7"/>
    <n v="535"/>
    <x v="7"/>
    <x v="0"/>
  </r>
  <r>
    <x v="17"/>
    <x v="6"/>
    <n v="535.44439999999997"/>
    <x v="6"/>
    <x v="0"/>
  </r>
  <r>
    <x v="5"/>
    <x v="6"/>
    <n v="537"/>
    <x v="6"/>
    <x v="0"/>
  </r>
  <r>
    <x v="1"/>
    <x v="6"/>
    <n v="537"/>
    <x v="6"/>
    <x v="0"/>
  </r>
  <r>
    <x v="20"/>
    <x v="7"/>
    <n v="537.42859999999996"/>
    <x v="7"/>
    <x v="0"/>
  </r>
  <r>
    <x v="12"/>
    <x v="7"/>
    <n v="537.63639999999998"/>
    <x v="7"/>
    <x v="0"/>
  </r>
  <r>
    <x v="19"/>
    <x v="7"/>
    <n v="538.13329999999996"/>
    <x v="7"/>
    <x v="0"/>
  </r>
  <r>
    <x v="3"/>
    <x v="7"/>
    <n v="539.14290000000005"/>
    <x v="7"/>
    <x v="0"/>
  </r>
  <r>
    <x v="32"/>
    <x v="7"/>
    <n v="539.33330000000001"/>
    <x v="7"/>
    <x v="0"/>
  </r>
  <r>
    <x v="5"/>
    <x v="7"/>
    <n v="540"/>
    <x v="7"/>
    <x v="0"/>
  </r>
  <r>
    <x v="17"/>
    <x v="7"/>
    <n v="540"/>
    <x v="7"/>
    <x v="0"/>
  </r>
  <r>
    <x v="0"/>
    <x v="7"/>
    <n v="540"/>
    <x v="7"/>
    <x v="0"/>
  </r>
  <r>
    <x v="26"/>
    <x v="7"/>
    <n v="540.13329999999996"/>
    <x v="7"/>
    <x v="0"/>
  </r>
  <r>
    <x v="29"/>
    <x v="7"/>
    <n v="540.20000000000005"/>
    <x v="7"/>
    <x v="0"/>
  </r>
  <r>
    <x v="13"/>
    <x v="7"/>
    <n v="540.5"/>
    <x v="7"/>
    <x v="0"/>
  </r>
  <r>
    <x v="6"/>
    <x v="7"/>
    <n v="540.58330000000001"/>
    <x v="7"/>
    <x v="0"/>
  </r>
  <r>
    <x v="18"/>
    <x v="7"/>
    <n v="540.90909999999997"/>
    <x v="7"/>
    <x v="0"/>
  </r>
  <r>
    <x v="16"/>
    <x v="7"/>
    <n v="541"/>
    <x v="7"/>
    <x v="0"/>
  </r>
  <r>
    <x v="7"/>
    <x v="6"/>
    <n v="542.1"/>
    <x v="6"/>
    <x v="0"/>
  </r>
  <r>
    <x v="25"/>
    <x v="7"/>
    <n v="542.75"/>
    <x v="7"/>
    <x v="0"/>
  </r>
  <r>
    <x v="36"/>
    <x v="7"/>
    <n v="542.77779999999996"/>
    <x v="7"/>
    <x v="0"/>
  </r>
  <r>
    <x v="1"/>
    <x v="7"/>
    <n v="543"/>
    <x v="7"/>
    <x v="0"/>
  </r>
  <r>
    <x v="6"/>
    <x v="6"/>
    <n v="543.57140000000004"/>
    <x v="6"/>
    <x v="0"/>
  </r>
  <r>
    <x v="35"/>
    <x v="7"/>
    <n v="545.55560000000003"/>
    <x v="7"/>
    <x v="0"/>
  </r>
  <r>
    <x v="7"/>
    <x v="7"/>
    <n v="545.55560000000003"/>
    <x v="7"/>
    <x v="0"/>
  </r>
  <r>
    <x v="31"/>
    <x v="7"/>
    <n v="545.82740000000001"/>
    <x v="7"/>
    <x v="0"/>
  </r>
  <r>
    <x v="37"/>
    <x v="7"/>
    <n v="546.42859999999996"/>
    <x v="7"/>
    <x v="0"/>
  </r>
  <r>
    <x v="14"/>
    <x v="7"/>
    <n v="546.6"/>
    <x v="7"/>
    <x v="0"/>
  </r>
  <r>
    <x v="33"/>
    <x v="7"/>
    <n v="546.66669999999999"/>
    <x v="7"/>
    <x v="0"/>
  </r>
  <r>
    <x v="9"/>
    <x v="7"/>
    <n v="547.77779999999996"/>
    <x v="7"/>
    <x v="0"/>
  </r>
  <r>
    <x v="13"/>
    <x v="6"/>
    <n v="548"/>
    <x v="6"/>
    <x v="0"/>
  </r>
  <r>
    <x v="22"/>
    <x v="7"/>
    <n v="549"/>
    <x v="7"/>
    <x v="0"/>
  </r>
  <r>
    <x v="15"/>
    <x v="6"/>
    <n v="549.09090000000003"/>
    <x v="6"/>
    <x v="0"/>
  </r>
  <r>
    <x v="21"/>
    <x v="7"/>
    <n v="549.09090000000003"/>
    <x v="7"/>
    <x v="0"/>
  </r>
  <r>
    <x v="4"/>
    <x v="7"/>
    <n v="549.52940000000001"/>
    <x v="7"/>
    <x v="0"/>
  </r>
  <r>
    <x v="15"/>
    <x v="7"/>
    <n v="550.83330000000001"/>
    <x v="7"/>
    <x v="0"/>
  </r>
  <r>
    <x v="10"/>
    <x v="7"/>
    <n v="551.25"/>
    <x v="7"/>
    <x v="0"/>
  </r>
  <r>
    <x v="24"/>
    <x v="7"/>
    <n v="552.72730000000001"/>
    <x v="7"/>
    <x v="0"/>
  </r>
  <r>
    <x v="34"/>
    <x v="7"/>
    <n v="556.66669999999999"/>
    <x v="7"/>
    <x v="0"/>
  </r>
  <r>
    <x v="2"/>
    <x v="7"/>
    <n v="557.14290000000005"/>
    <x v="7"/>
    <x v="0"/>
  </r>
  <r>
    <x v="16"/>
    <x v="6"/>
    <n v="558.75"/>
    <x v="6"/>
    <x v="0"/>
  </r>
  <r>
    <x v="23"/>
    <x v="7"/>
    <n v="560.83330000000001"/>
    <x v="7"/>
    <x v="0"/>
  </r>
  <r>
    <x v="27"/>
    <x v="7"/>
    <n v="561.81820000000005"/>
    <x v="7"/>
    <x v="0"/>
  </r>
  <r>
    <x v="8"/>
    <x v="7"/>
    <n v="562.30769999999995"/>
    <x v="7"/>
    <x v="0"/>
  </r>
  <r>
    <x v="28"/>
    <x v="7"/>
    <n v="562.85709999999995"/>
    <x v="7"/>
    <x v="0"/>
  </r>
  <r>
    <x v="22"/>
    <x v="6"/>
    <n v="569.375"/>
    <x v="6"/>
    <x v="0"/>
  </r>
  <r>
    <x v="25"/>
    <x v="6"/>
    <n v="575.71429999999998"/>
    <x v="6"/>
    <x v="0"/>
  </r>
  <r>
    <x v="19"/>
    <x v="8"/>
    <n v="590.95000000000005"/>
    <x v="8"/>
    <x v="0"/>
  </r>
  <r>
    <x v="20"/>
    <x v="8"/>
    <n v="592.1875"/>
    <x v="8"/>
    <x v="0"/>
  </r>
  <r>
    <x v="10"/>
    <x v="9"/>
    <n v="594.8125"/>
    <x v="9"/>
    <x v="0"/>
  </r>
  <r>
    <x v="12"/>
    <x v="9"/>
    <n v="596.79999999999995"/>
    <x v="9"/>
    <x v="0"/>
  </r>
  <r>
    <x v="25"/>
    <x v="8"/>
    <n v="599.375"/>
    <x v="8"/>
    <x v="0"/>
  </r>
  <r>
    <x v="31"/>
    <x v="6"/>
    <n v="600.34749999999997"/>
    <x v="6"/>
    <x v="0"/>
  </r>
  <r>
    <x v="12"/>
    <x v="10"/>
    <n v="602.54549999999995"/>
    <x v="10"/>
    <x v="0"/>
  </r>
  <r>
    <x v="19"/>
    <x v="11"/>
    <n v="602.54999999999995"/>
    <x v="2"/>
    <x v="2"/>
  </r>
  <r>
    <x v="27"/>
    <x v="12"/>
    <n v="602.77779999999996"/>
    <x v="11"/>
    <x v="0"/>
  </r>
  <r>
    <x v="33"/>
    <x v="6"/>
    <n v="604.54549999999995"/>
    <x v="6"/>
    <x v="0"/>
  </r>
  <r>
    <x v="25"/>
    <x v="9"/>
    <n v="604.625"/>
    <x v="9"/>
    <x v="0"/>
  </r>
  <r>
    <x v="25"/>
    <x v="10"/>
    <n v="605.875"/>
    <x v="10"/>
    <x v="0"/>
  </r>
  <r>
    <x v="12"/>
    <x v="6"/>
    <n v="607.66669999999999"/>
    <x v="6"/>
    <x v="0"/>
  </r>
  <r>
    <x v="28"/>
    <x v="6"/>
    <n v="610"/>
    <x v="6"/>
    <x v="0"/>
  </r>
  <r>
    <x v="26"/>
    <x v="6"/>
    <n v="610.45450000000005"/>
    <x v="6"/>
    <x v="0"/>
  </r>
  <r>
    <x v="22"/>
    <x v="8"/>
    <n v="610.5"/>
    <x v="8"/>
    <x v="0"/>
  </r>
  <r>
    <x v="19"/>
    <x v="12"/>
    <n v="612.72220000000004"/>
    <x v="11"/>
    <x v="0"/>
  </r>
  <r>
    <x v="11"/>
    <x v="6"/>
    <n v="613.08330000000001"/>
    <x v="6"/>
    <x v="0"/>
  </r>
  <r>
    <x v="32"/>
    <x v="8"/>
    <n v="613.57140000000004"/>
    <x v="8"/>
    <x v="0"/>
  </r>
  <r>
    <x v="29"/>
    <x v="8"/>
    <n v="614.47059999999999"/>
    <x v="8"/>
    <x v="0"/>
  </r>
  <r>
    <x v="17"/>
    <x v="13"/>
    <n v="614.90089999999998"/>
    <x v="0"/>
    <x v="2"/>
  </r>
  <r>
    <x v="19"/>
    <x v="6"/>
    <n v="615.1"/>
    <x v="6"/>
    <x v="0"/>
  </r>
  <r>
    <x v="10"/>
    <x v="8"/>
    <n v="615.71429999999998"/>
    <x v="8"/>
    <x v="0"/>
  </r>
  <r>
    <x v="37"/>
    <x v="6"/>
    <n v="615.73680000000002"/>
    <x v="6"/>
    <x v="0"/>
  </r>
  <r>
    <x v="3"/>
    <x v="6"/>
    <n v="616.83330000000001"/>
    <x v="6"/>
    <x v="0"/>
  </r>
  <r>
    <x v="9"/>
    <x v="6"/>
    <n v="617"/>
    <x v="6"/>
    <x v="0"/>
  </r>
  <r>
    <x v="34"/>
    <x v="10"/>
    <n v="617.41669999999999"/>
    <x v="10"/>
    <x v="0"/>
  </r>
  <r>
    <x v="3"/>
    <x v="9"/>
    <n v="617.6"/>
    <x v="9"/>
    <x v="0"/>
  </r>
  <r>
    <x v="3"/>
    <x v="10"/>
    <n v="617.78"/>
    <x v="10"/>
    <x v="0"/>
  </r>
  <r>
    <x v="28"/>
    <x v="14"/>
    <n v="618"/>
    <x v="12"/>
    <x v="0"/>
  </r>
  <r>
    <x v="17"/>
    <x v="9"/>
    <n v="618"/>
    <x v="9"/>
    <x v="0"/>
  </r>
  <r>
    <x v="30"/>
    <x v="6"/>
    <n v="618"/>
    <x v="6"/>
    <x v="0"/>
  </r>
  <r>
    <x v="18"/>
    <x v="6"/>
    <n v="618.45830000000001"/>
    <x v="6"/>
    <x v="0"/>
  </r>
  <r>
    <x v="20"/>
    <x v="10"/>
    <n v="618.5"/>
    <x v="10"/>
    <x v="0"/>
  </r>
  <r>
    <x v="17"/>
    <x v="10"/>
    <n v="618.54999999999995"/>
    <x v="10"/>
    <x v="0"/>
  </r>
  <r>
    <x v="37"/>
    <x v="8"/>
    <n v="618.57140000000004"/>
    <x v="8"/>
    <x v="0"/>
  </r>
  <r>
    <x v="14"/>
    <x v="9"/>
    <n v="618.57140000000004"/>
    <x v="9"/>
    <x v="0"/>
  </r>
  <r>
    <x v="22"/>
    <x v="9"/>
    <n v="618.66669999999999"/>
    <x v="9"/>
    <x v="0"/>
  </r>
  <r>
    <x v="34"/>
    <x v="9"/>
    <n v="619"/>
    <x v="9"/>
    <x v="0"/>
  </r>
  <r>
    <x v="33"/>
    <x v="9"/>
    <n v="619.1"/>
    <x v="9"/>
    <x v="0"/>
  </r>
  <r>
    <x v="11"/>
    <x v="10"/>
    <n v="619.23080000000004"/>
    <x v="10"/>
    <x v="0"/>
  </r>
  <r>
    <x v="32"/>
    <x v="6"/>
    <n v="619.57140000000004"/>
    <x v="6"/>
    <x v="0"/>
  </r>
  <r>
    <x v="29"/>
    <x v="6"/>
    <n v="619.65"/>
    <x v="6"/>
    <x v="0"/>
  </r>
  <r>
    <x v="32"/>
    <x v="10"/>
    <n v="619.6875"/>
    <x v="10"/>
    <x v="0"/>
  </r>
  <r>
    <x v="20"/>
    <x v="6"/>
    <n v="619.81820000000005"/>
    <x v="6"/>
    <x v="0"/>
  </r>
  <r>
    <x v="30"/>
    <x v="8"/>
    <n v="620"/>
    <x v="8"/>
    <x v="0"/>
  </r>
  <r>
    <x v="14"/>
    <x v="10"/>
    <n v="620"/>
    <x v="10"/>
    <x v="0"/>
  </r>
  <r>
    <x v="21"/>
    <x v="6"/>
    <n v="620"/>
    <x v="6"/>
    <x v="0"/>
  </r>
  <r>
    <x v="29"/>
    <x v="10"/>
    <n v="620.14290000000005"/>
    <x v="10"/>
    <x v="0"/>
  </r>
  <r>
    <x v="4"/>
    <x v="14"/>
    <n v="620.29409999999996"/>
    <x v="12"/>
    <x v="0"/>
  </r>
  <r>
    <x v="4"/>
    <x v="10"/>
    <n v="620.4"/>
    <x v="10"/>
    <x v="0"/>
  </r>
  <r>
    <x v="11"/>
    <x v="9"/>
    <n v="620.46669999999995"/>
    <x v="9"/>
    <x v="0"/>
  </r>
  <r>
    <x v="13"/>
    <x v="9"/>
    <n v="620.55560000000003"/>
    <x v="9"/>
    <x v="0"/>
  </r>
  <r>
    <x v="19"/>
    <x v="9"/>
    <n v="620.6875"/>
    <x v="9"/>
    <x v="0"/>
  </r>
  <r>
    <x v="0"/>
    <x v="6"/>
    <n v="621.14290000000005"/>
    <x v="6"/>
    <x v="0"/>
  </r>
  <r>
    <x v="24"/>
    <x v="8"/>
    <n v="621.25"/>
    <x v="8"/>
    <x v="0"/>
  </r>
  <r>
    <x v="37"/>
    <x v="10"/>
    <n v="621.25"/>
    <x v="10"/>
    <x v="0"/>
  </r>
  <r>
    <x v="10"/>
    <x v="10"/>
    <n v="621.42859999999996"/>
    <x v="10"/>
    <x v="0"/>
  </r>
  <r>
    <x v="27"/>
    <x v="6"/>
    <n v="621.54549999999995"/>
    <x v="6"/>
    <x v="0"/>
  </r>
  <r>
    <x v="21"/>
    <x v="10"/>
    <n v="621.57140000000004"/>
    <x v="10"/>
    <x v="0"/>
  </r>
  <r>
    <x v="22"/>
    <x v="10"/>
    <n v="621.72730000000001"/>
    <x v="10"/>
    <x v="0"/>
  </r>
  <r>
    <x v="20"/>
    <x v="9"/>
    <n v="621.79999999999995"/>
    <x v="9"/>
    <x v="0"/>
  </r>
  <r>
    <x v="35"/>
    <x v="9"/>
    <n v="621.875"/>
    <x v="9"/>
    <x v="0"/>
  </r>
  <r>
    <x v="36"/>
    <x v="8"/>
    <n v="621.92309999999998"/>
    <x v="8"/>
    <x v="0"/>
  </r>
  <r>
    <x v="4"/>
    <x v="9"/>
    <n v="622.47059999999999"/>
    <x v="9"/>
    <x v="0"/>
  </r>
  <r>
    <x v="2"/>
    <x v="12"/>
    <n v="622.71429999999998"/>
    <x v="11"/>
    <x v="0"/>
  </r>
  <r>
    <x v="21"/>
    <x v="9"/>
    <n v="622.72730000000001"/>
    <x v="9"/>
    <x v="0"/>
  </r>
  <r>
    <x v="18"/>
    <x v="9"/>
    <n v="623.06669999999997"/>
    <x v="9"/>
    <x v="0"/>
  </r>
  <r>
    <x v="19"/>
    <x v="14"/>
    <n v="623.11760000000004"/>
    <x v="12"/>
    <x v="0"/>
  </r>
  <r>
    <x v="37"/>
    <x v="9"/>
    <n v="623.38459999999998"/>
    <x v="9"/>
    <x v="0"/>
  </r>
  <r>
    <x v="11"/>
    <x v="8"/>
    <n v="623.66669999999999"/>
    <x v="8"/>
    <x v="0"/>
  </r>
  <r>
    <x v="1"/>
    <x v="9"/>
    <n v="623.83330000000001"/>
    <x v="9"/>
    <x v="0"/>
  </r>
  <r>
    <x v="1"/>
    <x v="10"/>
    <n v="623.86329999999998"/>
    <x v="10"/>
    <x v="0"/>
  </r>
  <r>
    <x v="13"/>
    <x v="10"/>
    <n v="624"/>
    <x v="10"/>
    <x v="0"/>
  </r>
  <r>
    <x v="7"/>
    <x v="13"/>
    <n v="624.03840000000002"/>
    <x v="0"/>
    <x v="2"/>
  </r>
  <r>
    <x v="17"/>
    <x v="8"/>
    <n v="624.28570000000002"/>
    <x v="8"/>
    <x v="0"/>
  </r>
  <r>
    <x v="8"/>
    <x v="6"/>
    <n v="624.28570000000002"/>
    <x v="6"/>
    <x v="0"/>
  </r>
  <r>
    <x v="29"/>
    <x v="9"/>
    <n v="624.4"/>
    <x v="9"/>
    <x v="0"/>
  </r>
  <r>
    <x v="19"/>
    <x v="10"/>
    <n v="624.88890000000004"/>
    <x v="10"/>
    <x v="0"/>
  </r>
  <r>
    <x v="27"/>
    <x v="10"/>
    <n v="625"/>
    <x v="10"/>
    <x v="0"/>
  </r>
  <r>
    <x v="35"/>
    <x v="10"/>
    <n v="625.11109999999996"/>
    <x v="10"/>
    <x v="0"/>
  </r>
  <r>
    <x v="23"/>
    <x v="14"/>
    <n v="625.125"/>
    <x v="12"/>
    <x v="0"/>
  </r>
  <r>
    <x v="30"/>
    <x v="10"/>
    <n v="625.71429999999998"/>
    <x v="10"/>
    <x v="0"/>
  </r>
  <r>
    <x v="2"/>
    <x v="14"/>
    <n v="625.75"/>
    <x v="12"/>
    <x v="0"/>
  </r>
  <r>
    <x v="32"/>
    <x v="9"/>
    <n v="625.75"/>
    <x v="9"/>
    <x v="0"/>
  </r>
  <r>
    <x v="34"/>
    <x v="6"/>
    <n v="625.79999999999995"/>
    <x v="6"/>
    <x v="0"/>
  </r>
  <r>
    <x v="18"/>
    <x v="10"/>
    <n v="625.84209999999996"/>
    <x v="10"/>
    <x v="0"/>
  </r>
  <r>
    <x v="13"/>
    <x v="8"/>
    <n v="626.11109999999996"/>
    <x v="8"/>
    <x v="0"/>
  </r>
  <r>
    <x v="31"/>
    <x v="10"/>
    <n v="626.21220000000005"/>
    <x v="10"/>
    <x v="0"/>
  </r>
  <r>
    <x v="9"/>
    <x v="10"/>
    <n v="626.375"/>
    <x v="10"/>
    <x v="0"/>
  </r>
  <r>
    <x v="20"/>
    <x v="12"/>
    <n v="626.5625"/>
    <x v="11"/>
    <x v="0"/>
  </r>
  <r>
    <x v="31"/>
    <x v="9"/>
    <n v="626.69979999999998"/>
    <x v="9"/>
    <x v="0"/>
  </r>
  <r>
    <x v="33"/>
    <x v="10"/>
    <n v="626.75"/>
    <x v="10"/>
    <x v="0"/>
  </r>
  <r>
    <x v="4"/>
    <x v="6"/>
    <n v="626.75"/>
    <x v="6"/>
    <x v="0"/>
  </r>
  <r>
    <x v="15"/>
    <x v="13"/>
    <n v="626.78700000000003"/>
    <x v="0"/>
    <x v="2"/>
  </r>
  <r>
    <x v="19"/>
    <x v="15"/>
    <n v="626.94119999999998"/>
    <x v="7"/>
    <x v="2"/>
  </r>
  <r>
    <x v="27"/>
    <x v="9"/>
    <n v="627"/>
    <x v="9"/>
    <x v="0"/>
  </r>
  <r>
    <x v="26"/>
    <x v="10"/>
    <n v="627.07690000000002"/>
    <x v="10"/>
    <x v="0"/>
  </r>
  <r>
    <x v="9"/>
    <x v="9"/>
    <n v="627.11109999999996"/>
    <x v="9"/>
    <x v="0"/>
  </r>
  <r>
    <x v="34"/>
    <x v="8"/>
    <n v="627.5"/>
    <x v="8"/>
    <x v="0"/>
  </r>
  <r>
    <x v="1"/>
    <x v="8"/>
    <n v="627.57140000000004"/>
    <x v="8"/>
    <x v="0"/>
  </r>
  <r>
    <x v="36"/>
    <x v="9"/>
    <n v="627.85709999999995"/>
    <x v="9"/>
    <x v="0"/>
  </r>
  <r>
    <x v="12"/>
    <x v="8"/>
    <n v="628.27269999999999"/>
    <x v="8"/>
    <x v="0"/>
  </r>
  <r>
    <x v="0"/>
    <x v="10"/>
    <n v="628.28570000000002"/>
    <x v="10"/>
    <x v="0"/>
  </r>
  <r>
    <x v="35"/>
    <x v="8"/>
    <n v="628.33330000000001"/>
    <x v="8"/>
    <x v="0"/>
  </r>
  <r>
    <x v="20"/>
    <x v="14"/>
    <n v="628.35709999999995"/>
    <x v="12"/>
    <x v="0"/>
  </r>
  <r>
    <x v="35"/>
    <x v="6"/>
    <n v="628.75"/>
    <x v="6"/>
    <x v="0"/>
  </r>
  <r>
    <x v="36"/>
    <x v="10"/>
    <n v="628.88890000000004"/>
    <x v="10"/>
    <x v="0"/>
  </r>
  <r>
    <x v="8"/>
    <x v="9"/>
    <n v="628.88890000000004"/>
    <x v="9"/>
    <x v="0"/>
  </r>
  <r>
    <x v="8"/>
    <x v="10"/>
    <n v="629.23080000000004"/>
    <x v="10"/>
    <x v="0"/>
  </r>
  <r>
    <x v="6"/>
    <x v="13"/>
    <n v="629.31939999999997"/>
    <x v="0"/>
    <x v="2"/>
  </r>
  <r>
    <x v="15"/>
    <x v="10"/>
    <n v="629.44439999999997"/>
    <x v="10"/>
    <x v="0"/>
  </r>
  <r>
    <x v="23"/>
    <x v="10"/>
    <n v="630"/>
    <x v="10"/>
    <x v="0"/>
  </r>
  <r>
    <x v="30"/>
    <x v="9"/>
    <n v="630"/>
    <x v="9"/>
    <x v="0"/>
  </r>
  <r>
    <x v="10"/>
    <x v="6"/>
    <n v="630"/>
    <x v="6"/>
    <x v="0"/>
  </r>
  <r>
    <x v="31"/>
    <x v="8"/>
    <n v="630.63440000000003"/>
    <x v="8"/>
    <x v="0"/>
  </r>
  <r>
    <x v="24"/>
    <x v="10"/>
    <n v="630.64290000000005"/>
    <x v="10"/>
    <x v="0"/>
  </r>
  <r>
    <x v="19"/>
    <x v="16"/>
    <n v="630.75"/>
    <x v="3"/>
    <x v="2"/>
  </r>
  <r>
    <x v="18"/>
    <x v="14"/>
    <n v="631.33330000000001"/>
    <x v="12"/>
    <x v="0"/>
  </r>
  <r>
    <x v="24"/>
    <x v="9"/>
    <n v="631.33330000000001"/>
    <x v="9"/>
    <x v="0"/>
  </r>
  <r>
    <x v="0"/>
    <x v="9"/>
    <n v="631.42859999999996"/>
    <x v="9"/>
    <x v="0"/>
  </r>
  <r>
    <x v="7"/>
    <x v="10"/>
    <n v="632"/>
    <x v="10"/>
    <x v="0"/>
  </r>
  <r>
    <x v="15"/>
    <x v="9"/>
    <n v="632.11109999999996"/>
    <x v="9"/>
    <x v="0"/>
  </r>
  <r>
    <x v="3"/>
    <x v="13"/>
    <n v="632.12440000000004"/>
    <x v="0"/>
    <x v="2"/>
  </r>
  <r>
    <x v="5"/>
    <x v="13"/>
    <n v="632.84460000000001"/>
    <x v="0"/>
    <x v="2"/>
  </r>
  <r>
    <x v="37"/>
    <x v="14"/>
    <n v="633.17650000000003"/>
    <x v="12"/>
    <x v="0"/>
  </r>
  <r>
    <x v="16"/>
    <x v="8"/>
    <n v="633.33330000000001"/>
    <x v="8"/>
    <x v="0"/>
  </r>
  <r>
    <x v="23"/>
    <x v="9"/>
    <n v="633.5"/>
    <x v="9"/>
    <x v="0"/>
  </r>
  <r>
    <x v="7"/>
    <x v="11"/>
    <n v="633.75"/>
    <x v="2"/>
    <x v="2"/>
  </r>
  <r>
    <x v="7"/>
    <x v="9"/>
    <n v="634.55560000000003"/>
    <x v="9"/>
    <x v="0"/>
  </r>
  <r>
    <x v="26"/>
    <x v="9"/>
    <n v="636"/>
    <x v="9"/>
    <x v="0"/>
  </r>
  <r>
    <x v="16"/>
    <x v="10"/>
    <n v="636.66669999999999"/>
    <x v="10"/>
    <x v="0"/>
  </r>
  <r>
    <x v="19"/>
    <x v="17"/>
    <n v="636.79999999999995"/>
    <x v="1"/>
    <x v="2"/>
  </r>
  <r>
    <x v="7"/>
    <x v="8"/>
    <n v="637"/>
    <x v="8"/>
    <x v="0"/>
  </r>
  <r>
    <x v="3"/>
    <x v="8"/>
    <n v="637.20000000000005"/>
    <x v="8"/>
    <x v="0"/>
  </r>
  <r>
    <x v="14"/>
    <x v="8"/>
    <n v="637.5"/>
    <x v="8"/>
    <x v="0"/>
  </r>
  <r>
    <x v="0"/>
    <x v="8"/>
    <n v="638.33330000000001"/>
    <x v="8"/>
    <x v="0"/>
  </r>
  <r>
    <x v="10"/>
    <x v="14"/>
    <n v="638.375"/>
    <x v="12"/>
    <x v="0"/>
  </r>
  <r>
    <x v="30"/>
    <x v="13"/>
    <n v="638.71429999999998"/>
    <x v="0"/>
    <x v="2"/>
  </r>
  <r>
    <x v="28"/>
    <x v="8"/>
    <n v="639"/>
    <x v="8"/>
    <x v="0"/>
  </r>
  <r>
    <x v="7"/>
    <x v="14"/>
    <n v="639.20000000000005"/>
    <x v="12"/>
    <x v="0"/>
  </r>
  <r>
    <x v="8"/>
    <x v="14"/>
    <n v="639.27269999999999"/>
    <x v="12"/>
    <x v="0"/>
  </r>
  <r>
    <x v="6"/>
    <x v="10"/>
    <n v="639.75"/>
    <x v="10"/>
    <x v="0"/>
  </r>
  <r>
    <x v="33"/>
    <x v="8"/>
    <n v="639.81820000000005"/>
    <x v="8"/>
    <x v="0"/>
  </r>
  <r>
    <x v="4"/>
    <x v="13"/>
    <n v="640"/>
    <x v="0"/>
    <x v="2"/>
  </r>
  <r>
    <x v="25"/>
    <x v="12"/>
    <n v="640"/>
    <x v="11"/>
    <x v="0"/>
  </r>
  <r>
    <x v="3"/>
    <x v="14"/>
    <n v="640"/>
    <x v="12"/>
    <x v="0"/>
  </r>
  <r>
    <x v="15"/>
    <x v="8"/>
    <n v="640"/>
    <x v="8"/>
    <x v="0"/>
  </r>
  <r>
    <x v="36"/>
    <x v="6"/>
    <n v="640"/>
    <x v="6"/>
    <x v="0"/>
  </r>
  <r>
    <x v="6"/>
    <x v="8"/>
    <n v="640.16669999999999"/>
    <x v="8"/>
    <x v="0"/>
  </r>
  <r>
    <x v="18"/>
    <x v="8"/>
    <n v="640.45450000000005"/>
    <x v="8"/>
    <x v="0"/>
  </r>
  <r>
    <x v="6"/>
    <x v="9"/>
    <n v="641"/>
    <x v="9"/>
    <x v="0"/>
  </r>
  <r>
    <x v="32"/>
    <x v="14"/>
    <n v="641.25"/>
    <x v="12"/>
    <x v="0"/>
  </r>
  <r>
    <x v="5"/>
    <x v="10"/>
    <n v="641.28570000000002"/>
    <x v="10"/>
    <x v="0"/>
  </r>
  <r>
    <x v="0"/>
    <x v="14"/>
    <n v="641.42859999999996"/>
    <x v="12"/>
    <x v="0"/>
  </r>
  <r>
    <x v="26"/>
    <x v="12"/>
    <n v="641.5385"/>
    <x v="11"/>
    <x v="0"/>
  </r>
  <r>
    <x v="5"/>
    <x v="8"/>
    <n v="642"/>
    <x v="8"/>
    <x v="0"/>
  </r>
  <r>
    <x v="7"/>
    <x v="17"/>
    <n v="642.16060000000004"/>
    <x v="1"/>
    <x v="2"/>
  </r>
  <r>
    <x v="23"/>
    <x v="6"/>
    <n v="642.22220000000004"/>
    <x v="6"/>
    <x v="0"/>
  </r>
  <r>
    <x v="17"/>
    <x v="14"/>
    <n v="642.5"/>
    <x v="12"/>
    <x v="0"/>
  </r>
  <r>
    <x v="16"/>
    <x v="9"/>
    <n v="642.5"/>
    <x v="9"/>
    <x v="0"/>
  </r>
  <r>
    <x v="27"/>
    <x v="8"/>
    <n v="642.72730000000001"/>
    <x v="8"/>
    <x v="0"/>
  </r>
  <r>
    <x v="4"/>
    <x v="8"/>
    <n v="642.85709999999995"/>
    <x v="8"/>
    <x v="0"/>
  </r>
  <r>
    <x v="24"/>
    <x v="6"/>
    <n v="643.125"/>
    <x v="6"/>
    <x v="0"/>
  </r>
  <r>
    <x v="29"/>
    <x v="12"/>
    <n v="644.0625"/>
    <x v="11"/>
    <x v="0"/>
  </r>
  <r>
    <x v="26"/>
    <x v="14"/>
    <n v="644.16669999999999"/>
    <x v="12"/>
    <x v="0"/>
  </r>
  <r>
    <x v="1"/>
    <x v="14"/>
    <n v="644.5"/>
    <x v="12"/>
    <x v="0"/>
  </r>
  <r>
    <x v="8"/>
    <x v="8"/>
    <n v="644.61540000000002"/>
    <x v="8"/>
    <x v="0"/>
  </r>
  <r>
    <x v="17"/>
    <x v="17"/>
    <n v="645.14570000000003"/>
    <x v="1"/>
    <x v="2"/>
  </r>
  <r>
    <x v="20"/>
    <x v="16"/>
    <n v="645.88239999999996"/>
    <x v="3"/>
    <x v="2"/>
  </r>
  <r>
    <x v="18"/>
    <x v="11"/>
    <n v="647.14290000000005"/>
    <x v="2"/>
    <x v="2"/>
  </r>
  <r>
    <x v="21"/>
    <x v="14"/>
    <n v="648"/>
    <x v="12"/>
    <x v="0"/>
  </r>
  <r>
    <x v="31"/>
    <x v="14"/>
    <n v="648.93359999999996"/>
    <x v="12"/>
    <x v="0"/>
  </r>
  <r>
    <x v="5"/>
    <x v="9"/>
    <n v="649.14290000000005"/>
    <x v="9"/>
    <x v="0"/>
  </r>
  <r>
    <x v="15"/>
    <x v="14"/>
    <n v="649.16669999999999"/>
    <x v="12"/>
    <x v="0"/>
  </r>
  <r>
    <x v="26"/>
    <x v="8"/>
    <n v="649.23080000000004"/>
    <x v="8"/>
    <x v="0"/>
  </r>
  <r>
    <x v="1"/>
    <x v="12"/>
    <n v="649.25"/>
    <x v="11"/>
    <x v="0"/>
  </r>
  <r>
    <x v="17"/>
    <x v="18"/>
    <n v="650"/>
    <x v="6"/>
    <x v="2"/>
  </r>
  <r>
    <x v="17"/>
    <x v="15"/>
    <n v="650"/>
    <x v="7"/>
    <x v="2"/>
  </r>
  <r>
    <x v="17"/>
    <x v="11"/>
    <n v="650"/>
    <x v="2"/>
    <x v="2"/>
  </r>
  <r>
    <x v="17"/>
    <x v="19"/>
    <n v="650"/>
    <x v="4"/>
    <x v="2"/>
  </r>
  <r>
    <x v="9"/>
    <x v="13"/>
    <n v="650"/>
    <x v="0"/>
    <x v="2"/>
  </r>
  <r>
    <x v="9"/>
    <x v="14"/>
    <n v="650"/>
    <x v="12"/>
    <x v="0"/>
  </r>
  <r>
    <x v="14"/>
    <x v="14"/>
    <n v="650"/>
    <x v="12"/>
    <x v="0"/>
  </r>
  <r>
    <x v="6"/>
    <x v="14"/>
    <n v="650"/>
    <x v="12"/>
    <x v="0"/>
  </r>
  <r>
    <x v="9"/>
    <x v="8"/>
    <n v="650"/>
    <x v="8"/>
    <x v="0"/>
  </r>
  <r>
    <x v="29"/>
    <x v="14"/>
    <n v="650.58820000000003"/>
    <x v="12"/>
    <x v="0"/>
  </r>
  <r>
    <x v="17"/>
    <x v="12"/>
    <n v="650.625"/>
    <x v="11"/>
    <x v="0"/>
  </r>
  <r>
    <x v="18"/>
    <x v="19"/>
    <n v="650.83330000000001"/>
    <x v="4"/>
    <x v="2"/>
  </r>
  <r>
    <x v="18"/>
    <x v="16"/>
    <n v="651.25"/>
    <x v="3"/>
    <x v="2"/>
  </r>
  <r>
    <x v="32"/>
    <x v="13"/>
    <n v="651.33130000000006"/>
    <x v="0"/>
    <x v="2"/>
  </r>
  <r>
    <x v="36"/>
    <x v="14"/>
    <n v="651.52170000000001"/>
    <x v="12"/>
    <x v="0"/>
  </r>
  <r>
    <x v="20"/>
    <x v="19"/>
    <n v="652.35289999999998"/>
    <x v="4"/>
    <x v="2"/>
  </r>
  <r>
    <x v="5"/>
    <x v="19"/>
    <n v="652.72730000000001"/>
    <x v="4"/>
    <x v="2"/>
  </r>
  <r>
    <x v="29"/>
    <x v="13"/>
    <n v="653.01859999999999"/>
    <x v="0"/>
    <x v="2"/>
  </r>
  <r>
    <x v="18"/>
    <x v="13"/>
    <n v="653.10530000000006"/>
    <x v="0"/>
    <x v="2"/>
  </r>
  <r>
    <x v="3"/>
    <x v="19"/>
    <n v="653.20000000000005"/>
    <x v="4"/>
    <x v="2"/>
  </r>
  <r>
    <x v="32"/>
    <x v="12"/>
    <n v="653.4375"/>
    <x v="11"/>
    <x v="0"/>
  </r>
  <r>
    <x v="7"/>
    <x v="19"/>
    <n v="653.70000000000005"/>
    <x v="4"/>
    <x v="2"/>
  </r>
  <r>
    <x v="19"/>
    <x v="19"/>
    <n v="654.23080000000004"/>
    <x v="4"/>
    <x v="2"/>
  </r>
  <r>
    <x v="24"/>
    <x v="14"/>
    <n v="654.35709999999995"/>
    <x v="12"/>
    <x v="0"/>
  </r>
  <r>
    <x v="32"/>
    <x v="19"/>
    <n v="655"/>
    <x v="4"/>
    <x v="2"/>
  </r>
  <r>
    <x v="6"/>
    <x v="19"/>
    <n v="655"/>
    <x v="4"/>
    <x v="2"/>
  </r>
  <r>
    <x v="13"/>
    <x v="14"/>
    <n v="656.66669999999999"/>
    <x v="12"/>
    <x v="0"/>
  </r>
  <r>
    <x v="7"/>
    <x v="16"/>
    <n v="657.15380000000005"/>
    <x v="3"/>
    <x v="2"/>
  </r>
  <r>
    <x v="2"/>
    <x v="13"/>
    <n v="657.27269999999999"/>
    <x v="0"/>
    <x v="2"/>
  </r>
  <r>
    <x v="2"/>
    <x v="8"/>
    <n v="657.27269999999999"/>
    <x v="8"/>
    <x v="0"/>
  </r>
  <r>
    <x v="2"/>
    <x v="9"/>
    <n v="657.27269999999999"/>
    <x v="9"/>
    <x v="0"/>
  </r>
  <r>
    <x v="2"/>
    <x v="6"/>
    <n v="657.27269999999999"/>
    <x v="6"/>
    <x v="0"/>
  </r>
  <r>
    <x v="2"/>
    <x v="10"/>
    <n v="657.37270000000001"/>
    <x v="10"/>
    <x v="0"/>
  </r>
  <r>
    <x v="23"/>
    <x v="8"/>
    <n v="658.33330000000001"/>
    <x v="8"/>
    <x v="0"/>
  </r>
  <r>
    <x v="26"/>
    <x v="13"/>
    <n v="658.77189999999996"/>
    <x v="0"/>
    <x v="2"/>
  </r>
  <r>
    <x v="5"/>
    <x v="12"/>
    <n v="658.88890000000004"/>
    <x v="11"/>
    <x v="0"/>
  </r>
  <r>
    <x v="11"/>
    <x v="14"/>
    <n v="659.16669999999999"/>
    <x v="12"/>
    <x v="0"/>
  </r>
  <r>
    <x v="7"/>
    <x v="12"/>
    <n v="659.375"/>
    <x v="11"/>
    <x v="0"/>
  </r>
  <r>
    <x v="21"/>
    <x v="8"/>
    <n v="659.375"/>
    <x v="8"/>
    <x v="0"/>
  </r>
  <r>
    <x v="6"/>
    <x v="17"/>
    <n v="659.44439999999997"/>
    <x v="1"/>
    <x v="2"/>
  </r>
  <r>
    <x v="20"/>
    <x v="11"/>
    <n v="660.33330000000001"/>
    <x v="2"/>
    <x v="2"/>
  </r>
  <r>
    <x v="15"/>
    <x v="12"/>
    <n v="660.90909999999997"/>
    <x v="11"/>
    <x v="0"/>
  </r>
  <r>
    <x v="6"/>
    <x v="12"/>
    <n v="661.42859999999996"/>
    <x v="11"/>
    <x v="0"/>
  </r>
  <r>
    <x v="32"/>
    <x v="16"/>
    <n v="661.5625"/>
    <x v="3"/>
    <x v="2"/>
  </r>
  <r>
    <x v="32"/>
    <x v="11"/>
    <n v="661.66669999999999"/>
    <x v="2"/>
    <x v="2"/>
  </r>
  <r>
    <x v="14"/>
    <x v="12"/>
    <n v="661.875"/>
    <x v="11"/>
    <x v="0"/>
  </r>
  <r>
    <x v="14"/>
    <x v="13"/>
    <n v="662"/>
    <x v="0"/>
    <x v="2"/>
  </r>
  <r>
    <x v="1"/>
    <x v="16"/>
    <n v="662.26880000000006"/>
    <x v="3"/>
    <x v="2"/>
  </r>
  <r>
    <x v="20"/>
    <x v="13"/>
    <n v="662.53290000000004"/>
    <x v="0"/>
    <x v="2"/>
  </r>
  <r>
    <x v="3"/>
    <x v="17"/>
    <n v="662.73109999999997"/>
    <x v="1"/>
    <x v="2"/>
  </r>
  <r>
    <x v="19"/>
    <x v="13"/>
    <n v="663.04949999999997"/>
    <x v="0"/>
    <x v="2"/>
  </r>
  <r>
    <x v="22"/>
    <x v="13"/>
    <n v="663.33330000000001"/>
    <x v="0"/>
    <x v="2"/>
  </r>
  <r>
    <x v="3"/>
    <x v="12"/>
    <n v="663.33330000000001"/>
    <x v="11"/>
    <x v="0"/>
  </r>
  <r>
    <x v="29"/>
    <x v="16"/>
    <n v="663.84619999999995"/>
    <x v="3"/>
    <x v="2"/>
  </r>
  <r>
    <x v="12"/>
    <x v="14"/>
    <n v="663.88890000000004"/>
    <x v="12"/>
    <x v="0"/>
  </r>
  <r>
    <x v="26"/>
    <x v="19"/>
    <n v="664.54549999999995"/>
    <x v="4"/>
    <x v="2"/>
  </r>
  <r>
    <x v="0"/>
    <x v="13"/>
    <n v="664.8"/>
    <x v="0"/>
    <x v="2"/>
  </r>
  <r>
    <x v="33"/>
    <x v="12"/>
    <n v="665"/>
    <x v="11"/>
    <x v="0"/>
  </r>
  <r>
    <x v="28"/>
    <x v="10"/>
    <n v="665.55560000000003"/>
    <x v="10"/>
    <x v="0"/>
  </r>
  <r>
    <x v="22"/>
    <x v="19"/>
    <n v="665.625"/>
    <x v="4"/>
    <x v="2"/>
  </r>
  <r>
    <x v="25"/>
    <x v="13"/>
    <n v="665.625"/>
    <x v="0"/>
    <x v="2"/>
  </r>
  <r>
    <x v="17"/>
    <x v="16"/>
    <n v="665.68179999999995"/>
    <x v="3"/>
    <x v="2"/>
  </r>
  <r>
    <x v="22"/>
    <x v="14"/>
    <n v="666"/>
    <x v="12"/>
    <x v="0"/>
  </r>
  <r>
    <x v="29"/>
    <x v="19"/>
    <n v="666.25"/>
    <x v="4"/>
    <x v="2"/>
  </r>
  <r>
    <x v="13"/>
    <x v="12"/>
    <n v="667.11109999999996"/>
    <x v="11"/>
    <x v="0"/>
  </r>
  <r>
    <x v="30"/>
    <x v="14"/>
    <n v="667.14290000000005"/>
    <x v="12"/>
    <x v="0"/>
  </r>
  <r>
    <x v="33"/>
    <x v="14"/>
    <n v="667.14290000000005"/>
    <x v="12"/>
    <x v="0"/>
  </r>
  <r>
    <x v="25"/>
    <x v="20"/>
    <n v="667.5"/>
    <x v="9"/>
    <x v="2"/>
  </r>
  <r>
    <x v="31"/>
    <x v="13"/>
    <n v="668.29660000000001"/>
    <x v="0"/>
    <x v="2"/>
  </r>
  <r>
    <x v="27"/>
    <x v="14"/>
    <n v="668.63639999999998"/>
    <x v="12"/>
    <x v="0"/>
  </r>
  <r>
    <x v="5"/>
    <x v="14"/>
    <n v="668.75"/>
    <x v="12"/>
    <x v="0"/>
  </r>
  <r>
    <x v="14"/>
    <x v="18"/>
    <n v="669.75"/>
    <x v="6"/>
    <x v="2"/>
  </r>
  <r>
    <x v="3"/>
    <x v="11"/>
    <n v="670"/>
    <x v="2"/>
    <x v="2"/>
  </r>
  <r>
    <x v="30"/>
    <x v="19"/>
    <n v="670"/>
    <x v="4"/>
    <x v="2"/>
  </r>
  <r>
    <x v="1"/>
    <x v="13"/>
    <n v="670"/>
    <x v="0"/>
    <x v="2"/>
  </r>
  <r>
    <x v="25"/>
    <x v="14"/>
    <n v="670"/>
    <x v="12"/>
    <x v="0"/>
  </r>
  <r>
    <x v="18"/>
    <x v="15"/>
    <n v="670.625"/>
    <x v="7"/>
    <x v="2"/>
  </r>
  <r>
    <x v="29"/>
    <x v="11"/>
    <n v="671.25"/>
    <x v="2"/>
    <x v="2"/>
  </r>
  <r>
    <x v="10"/>
    <x v="13"/>
    <n v="671.4"/>
    <x v="0"/>
    <x v="2"/>
  </r>
  <r>
    <x v="30"/>
    <x v="12"/>
    <n v="671.42859999999996"/>
    <x v="11"/>
    <x v="0"/>
  </r>
  <r>
    <x v="16"/>
    <x v="12"/>
    <n v="671.66669999999999"/>
    <x v="11"/>
    <x v="0"/>
  </r>
  <r>
    <x v="31"/>
    <x v="12"/>
    <n v="671.85820000000001"/>
    <x v="11"/>
    <x v="0"/>
  </r>
  <r>
    <x v="22"/>
    <x v="20"/>
    <n v="672"/>
    <x v="9"/>
    <x v="2"/>
  </r>
  <r>
    <x v="26"/>
    <x v="16"/>
    <n v="672.14290000000005"/>
    <x v="3"/>
    <x v="2"/>
  </r>
  <r>
    <x v="14"/>
    <x v="19"/>
    <n v="672.5"/>
    <x v="4"/>
    <x v="2"/>
  </r>
  <r>
    <x v="13"/>
    <x v="13"/>
    <n v="673"/>
    <x v="0"/>
    <x v="2"/>
  </r>
  <r>
    <x v="36"/>
    <x v="12"/>
    <n v="673.125"/>
    <x v="11"/>
    <x v="0"/>
  </r>
  <r>
    <x v="4"/>
    <x v="12"/>
    <n v="673.66669999999999"/>
    <x v="11"/>
    <x v="0"/>
  </r>
  <r>
    <x v="16"/>
    <x v="18"/>
    <n v="673.75"/>
    <x v="6"/>
    <x v="2"/>
  </r>
  <r>
    <x v="36"/>
    <x v="13"/>
    <n v="673.87220000000002"/>
    <x v="0"/>
    <x v="2"/>
  </r>
  <r>
    <x v="12"/>
    <x v="13"/>
    <n v="674.54549999999995"/>
    <x v="0"/>
    <x v="2"/>
  </r>
  <r>
    <x v="27"/>
    <x v="19"/>
    <n v="675"/>
    <x v="4"/>
    <x v="2"/>
  </r>
  <r>
    <x v="16"/>
    <x v="14"/>
    <n v="675"/>
    <x v="12"/>
    <x v="0"/>
  </r>
  <r>
    <x v="9"/>
    <x v="12"/>
    <n v="675.28570000000002"/>
    <x v="11"/>
    <x v="0"/>
  </r>
  <r>
    <x v="15"/>
    <x v="19"/>
    <n v="675.5"/>
    <x v="4"/>
    <x v="2"/>
  </r>
  <r>
    <x v="8"/>
    <x v="13"/>
    <n v="675.54549999999995"/>
    <x v="0"/>
    <x v="2"/>
  </r>
  <r>
    <x v="1"/>
    <x v="17"/>
    <n v="675.93029999999999"/>
    <x v="1"/>
    <x v="2"/>
  </r>
  <r>
    <x v="14"/>
    <x v="20"/>
    <n v="676.25"/>
    <x v="9"/>
    <x v="2"/>
  </r>
  <r>
    <x v="12"/>
    <x v="12"/>
    <n v="676.66669999999999"/>
    <x v="11"/>
    <x v="0"/>
  </r>
  <r>
    <x v="3"/>
    <x v="18"/>
    <n v="677"/>
    <x v="6"/>
    <x v="2"/>
  </r>
  <r>
    <x v="16"/>
    <x v="13"/>
    <n v="677"/>
    <x v="0"/>
    <x v="2"/>
  </r>
  <r>
    <x v="34"/>
    <x v="14"/>
    <n v="677.66669999999999"/>
    <x v="12"/>
    <x v="0"/>
  </r>
  <r>
    <x v="22"/>
    <x v="18"/>
    <n v="677.77779999999996"/>
    <x v="6"/>
    <x v="2"/>
  </r>
  <r>
    <x v="16"/>
    <x v="19"/>
    <n v="678"/>
    <x v="4"/>
    <x v="2"/>
  </r>
  <r>
    <x v="27"/>
    <x v="13"/>
    <n v="678.26670000000001"/>
    <x v="0"/>
    <x v="2"/>
  </r>
  <r>
    <x v="4"/>
    <x v="19"/>
    <n v="678.41669999999999"/>
    <x v="4"/>
    <x v="2"/>
  </r>
  <r>
    <x v="0"/>
    <x v="12"/>
    <n v="678.57140000000004"/>
    <x v="11"/>
    <x v="0"/>
  </r>
  <r>
    <x v="22"/>
    <x v="12"/>
    <n v="679"/>
    <x v="11"/>
    <x v="0"/>
  </r>
  <r>
    <x v="31"/>
    <x v="19"/>
    <n v="679.36450000000002"/>
    <x v="4"/>
    <x v="2"/>
  </r>
  <r>
    <x v="34"/>
    <x v="13"/>
    <n v="679.66669999999999"/>
    <x v="0"/>
    <x v="2"/>
  </r>
  <r>
    <x v="13"/>
    <x v="20"/>
    <n v="680"/>
    <x v="9"/>
    <x v="2"/>
  </r>
  <r>
    <x v="25"/>
    <x v="18"/>
    <n v="680"/>
    <x v="6"/>
    <x v="2"/>
  </r>
  <r>
    <x v="13"/>
    <x v="19"/>
    <n v="680"/>
    <x v="4"/>
    <x v="2"/>
  </r>
  <r>
    <x v="33"/>
    <x v="19"/>
    <n v="680"/>
    <x v="4"/>
    <x v="2"/>
  </r>
  <r>
    <x v="12"/>
    <x v="19"/>
    <n v="680"/>
    <x v="4"/>
    <x v="2"/>
  </r>
  <r>
    <x v="11"/>
    <x v="13"/>
    <n v="680"/>
    <x v="0"/>
    <x v="2"/>
  </r>
  <r>
    <x v="11"/>
    <x v="12"/>
    <n v="680"/>
    <x v="11"/>
    <x v="0"/>
  </r>
  <r>
    <x v="28"/>
    <x v="9"/>
    <n v="680"/>
    <x v="9"/>
    <x v="0"/>
  </r>
  <r>
    <x v="2"/>
    <x v="19"/>
    <n v="680.22"/>
    <x v="4"/>
    <x v="2"/>
  </r>
  <r>
    <x v="33"/>
    <x v="13"/>
    <n v="680.4"/>
    <x v="0"/>
    <x v="2"/>
  </r>
  <r>
    <x v="10"/>
    <x v="19"/>
    <n v="680.42"/>
    <x v="4"/>
    <x v="2"/>
  </r>
  <r>
    <x v="16"/>
    <x v="20"/>
    <n v="681.42859999999996"/>
    <x v="9"/>
    <x v="2"/>
  </r>
  <r>
    <x v="0"/>
    <x v="19"/>
    <n v="681.42859999999996"/>
    <x v="4"/>
    <x v="2"/>
  </r>
  <r>
    <x v="34"/>
    <x v="12"/>
    <n v="682"/>
    <x v="11"/>
    <x v="0"/>
  </r>
  <r>
    <x v="22"/>
    <x v="11"/>
    <n v="682.77779999999996"/>
    <x v="2"/>
    <x v="2"/>
  </r>
  <r>
    <x v="37"/>
    <x v="12"/>
    <n v="683.68420000000003"/>
    <x v="11"/>
    <x v="0"/>
  </r>
  <r>
    <x v="4"/>
    <x v="16"/>
    <n v="683.92859999999996"/>
    <x v="3"/>
    <x v="2"/>
  </r>
  <r>
    <x v="13"/>
    <x v="18"/>
    <n v="684"/>
    <x v="6"/>
    <x v="2"/>
  </r>
  <r>
    <x v="12"/>
    <x v="18"/>
    <n v="684.54549999999995"/>
    <x v="6"/>
    <x v="2"/>
  </r>
  <r>
    <x v="14"/>
    <x v="16"/>
    <n v="685"/>
    <x v="3"/>
    <x v="2"/>
  </r>
  <r>
    <x v="11"/>
    <x v="19"/>
    <n v="685.17"/>
    <x v="4"/>
    <x v="2"/>
  </r>
  <r>
    <x v="1"/>
    <x v="11"/>
    <n v="685.28570000000002"/>
    <x v="2"/>
    <x v="2"/>
  </r>
  <r>
    <x v="12"/>
    <x v="20"/>
    <n v="685.45450000000005"/>
    <x v="9"/>
    <x v="2"/>
  </r>
  <r>
    <x v="27"/>
    <x v="16"/>
    <n v="685.71429999999998"/>
    <x v="3"/>
    <x v="2"/>
  </r>
  <r>
    <x v="1"/>
    <x v="19"/>
    <n v="686.16669999999999"/>
    <x v="4"/>
    <x v="2"/>
  </r>
  <r>
    <x v="25"/>
    <x v="19"/>
    <n v="687"/>
    <x v="4"/>
    <x v="2"/>
  </r>
  <r>
    <x v="37"/>
    <x v="13"/>
    <n v="687"/>
    <x v="0"/>
    <x v="2"/>
  </r>
  <r>
    <x v="24"/>
    <x v="13"/>
    <n v="687.5"/>
    <x v="0"/>
    <x v="2"/>
  </r>
  <r>
    <x v="8"/>
    <x v="19"/>
    <n v="688.2"/>
    <x v="4"/>
    <x v="2"/>
  </r>
  <r>
    <x v="36"/>
    <x v="19"/>
    <n v="688.21"/>
    <x v="4"/>
    <x v="2"/>
  </r>
  <r>
    <x v="21"/>
    <x v="12"/>
    <n v="688.4615"/>
    <x v="11"/>
    <x v="0"/>
  </r>
  <r>
    <x v="9"/>
    <x v="19"/>
    <n v="688.57140000000004"/>
    <x v="4"/>
    <x v="2"/>
  </r>
  <r>
    <x v="24"/>
    <x v="19"/>
    <n v="688.62"/>
    <x v="4"/>
    <x v="2"/>
  </r>
  <r>
    <x v="25"/>
    <x v="11"/>
    <n v="688.75"/>
    <x v="2"/>
    <x v="2"/>
  </r>
  <r>
    <x v="13"/>
    <x v="11"/>
    <n v="689"/>
    <x v="2"/>
    <x v="2"/>
  </r>
  <r>
    <x v="26"/>
    <x v="15"/>
    <n v="689.23080000000004"/>
    <x v="7"/>
    <x v="2"/>
  </r>
  <r>
    <x v="24"/>
    <x v="12"/>
    <n v="690.52629999999999"/>
    <x v="11"/>
    <x v="0"/>
  </r>
  <r>
    <x v="15"/>
    <x v="16"/>
    <n v="690.59379999999999"/>
    <x v="3"/>
    <x v="2"/>
  </r>
  <r>
    <x v="26"/>
    <x v="11"/>
    <n v="691"/>
    <x v="2"/>
    <x v="2"/>
  </r>
  <r>
    <x v="35"/>
    <x v="14"/>
    <n v="691"/>
    <x v="12"/>
    <x v="0"/>
  </r>
  <r>
    <x v="14"/>
    <x v="11"/>
    <n v="691.25"/>
    <x v="2"/>
    <x v="2"/>
  </r>
  <r>
    <x v="8"/>
    <x v="12"/>
    <n v="692.18179999999995"/>
    <x v="11"/>
    <x v="0"/>
  </r>
  <r>
    <x v="16"/>
    <x v="11"/>
    <n v="692.5"/>
    <x v="2"/>
    <x v="2"/>
  </r>
  <r>
    <x v="9"/>
    <x v="17"/>
    <n v="693.80560000000003"/>
    <x v="1"/>
    <x v="2"/>
  </r>
  <r>
    <x v="19"/>
    <x v="18"/>
    <n v="693.82349999999997"/>
    <x v="6"/>
    <x v="2"/>
  </r>
  <r>
    <x v="33"/>
    <x v="16"/>
    <n v="694.16669999999999"/>
    <x v="3"/>
    <x v="2"/>
  </r>
  <r>
    <x v="3"/>
    <x v="16"/>
    <n v="695.6"/>
    <x v="3"/>
    <x v="2"/>
  </r>
  <r>
    <x v="3"/>
    <x v="15"/>
    <n v="696"/>
    <x v="7"/>
    <x v="2"/>
  </r>
  <r>
    <x v="12"/>
    <x v="11"/>
    <n v="696"/>
    <x v="2"/>
    <x v="2"/>
  </r>
  <r>
    <x v="34"/>
    <x v="19"/>
    <n v="696.42859999999996"/>
    <x v="4"/>
    <x v="2"/>
  </r>
  <r>
    <x v="20"/>
    <x v="15"/>
    <n v="696.66669999999999"/>
    <x v="7"/>
    <x v="2"/>
  </r>
  <r>
    <x v="31"/>
    <x v="16"/>
    <n v="696.78719999999998"/>
    <x v="3"/>
    <x v="2"/>
  </r>
  <r>
    <x v="25"/>
    <x v="16"/>
    <n v="696.875"/>
    <x v="3"/>
    <x v="2"/>
  </r>
  <r>
    <x v="15"/>
    <x v="17"/>
    <n v="697.66459999999995"/>
    <x v="1"/>
    <x v="2"/>
  </r>
  <r>
    <x v="33"/>
    <x v="11"/>
    <n v="697.72730000000001"/>
    <x v="2"/>
    <x v="2"/>
  </r>
  <r>
    <x v="4"/>
    <x v="11"/>
    <n v="699.64290000000005"/>
    <x v="2"/>
    <x v="2"/>
  </r>
  <r>
    <x v="27"/>
    <x v="11"/>
    <n v="700"/>
    <x v="2"/>
    <x v="2"/>
  </r>
  <r>
    <x v="6"/>
    <x v="16"/>
    <n v="700.32140000000004"/>
    <x v="3"/>
    <x v="2"/>
  </r>
  <r>
    <x v="5"/>
    <x v="16"/>
    <n v="700.7"/>
    <x v="3"/>
    <x v="2"/>
  </r>
  <r>
    <x v="31"/>
    <x v="11"/>
    <n v="701.24440000000004"/>
    <x v="2"/>
    <x v="2"/>
  </r>
  <r>
    <x v="11"/>
    <x v="16"/>
    <n v="701.25"/>
    <x v="3"/>
    <x v="2"/>
  </r>
  <r>
    <x v="13"/>
    <x v="16"/>
    <n v="702"/>
    <x v="3"/>
    <x v="2"/>
  </r>
  <r>
    <x v="30"/>
    <x v="11"/>
    <n v="702.5"/>
    <x v="2"/>
    <x v="2"/>
  </r>
  <r>
    <x v="23"/>
    <x v="13"/>
    <n v="703"/>
    <x v="0"/>
    <x v="2"/>
  </r>
  <r>
    <x v="23"/>
    <x v="12"/>
    <n v="703"/>
    <x v="11"/>
    <x v="0"/>
  </r>
  <r>
    <x v="21"/>
    <x v="16"/>
    <n v="704.09090000000003"/>
    <x v="3"/>
    <x v="2"/>
  </r>
  <r>
    <x v="28"/>
    <x v="13"/>
    <n v="704.11109999999996"/>
    <x v="0"/>
    <x v="2"/>
  </r>
  <r>
    <x v="16"/>
    <x v="16"/>
    <n v="704.44439999999997"/>
    <x v="3"/>
    <x v="2"/>
  </r>
  <r>
    <x v="7"/>
    <x v="15"/>
    <n v="704.46669999999995"/>
    <x v="7"/>
    <x v="2"/>
  </r>
  <r>
    <x v="3"/>
    <x v="20"/>
    <n v="705.25"/>
    <x v="9"/>
    <x v="2"/>
  </r>
  <r>
    <x v="37"/>
    <x v="19"/>
    <n v="705.51250000000005"/>
    <x v="4"/>
    <x v="2"/>
  </r>
  <r>
    <x v="36"/>
    <x v="11"/>
    <n v="705.75"/>
    <x v="2"/>
    <x v="2"/>
  </r>
  <r>
    <x v="24"/>
    <x v="11"/>
    <n v="706"/>
    <x v="2"/>
    <x v="2"/>
  </r>
  <r>
    <x v="9"/>
    <x v="16"/>
    <n v="707.14290000000005"/>
    <x v="3"/>
    <x v="2"/>
  </r>
  <r>
    <x v="11"/>
    <x v="11"/>
    <n v="707.85709999999995"/>
    <x v="2"/>
    <x v="2"/>
  </r>
  <r>
    <x v="34"/>
    <x v="16"/>
    <n v="708.33330000000001"/>
    <x v="3"/>
    <x v="2"/>
  </r>
  <r>
    <x v="4"/>
    <x v="15"/>
    <n v="709.58330000000001"/>
    <x v="7"/>
    <x v="2"/>
  </r>
  <r>
    <x v="22"/>
    <x v="16"/>
    <n v="710"/>
    <x v="3"/>
    <x v="2"/>
  </r>
  <r>
    <x v="23"/>
    <x v="19"/>
    <n v="710"/>
    <x v="4"/>
    <x v="2"/>
  </r>
  <r>
    <x v="28"/>
    <x v="19"/>
    <n v="710.56"/>
    <x v="4"/>
    <x v="2"/>
  </r>
  <r>
    <x v="30"/>
    <x v="16"/>
    <n v="710.71429999999998"/>
    <x v="3"/>
    <x v="2"/>
  </r>
  <r>
    <x v="24"/>
    <x v="16"/>
    <n v="710.83330000000001"/>
    <x v="3"/>
    <x v="2"/>
  </r>
  <r>
    <x v="12"/>
    <x v="16"/>
    <n v="710.90909999999997"/>
    <x v="3"/>
    <x v="2"/>
  </r>
  <r>
    <x v="34"/>
    <x v="11"/>
    <n v="711.5385"/>
    <x v="2"/>
    <x v="2"/>
  </r>
  <r>
    <x v="37"/>
    <x v="11"/>
    <n v="712.77779999999996"/>
    <x v="2"/>
    <x v="2"/>
  </r>
  <r>
    <x v="36"/>
    <x v="16"/>
    <n v="713.125"/>
    <x v="3"/>
    <x v="2"/>
  </r>
  <r>
    <x v="0"/>
    <x v="11"/>
    <n v="713.33330000000001"/>
    <x v="2"/>
    <x v="2"/>
  </r>
  <r>
    <x v="5"/>
    <x v="11"/>
    <n v="713.63639999999998"/>
    <x v="2"/>
    <x v="2"/>
  </r>
  <r>
    <x v="0"/>
    <x v="16"/>
    <n v="715"/>
    <x v="3"/>
    <x v="2"/>
  </r>
  <r>
    <x v="27"/>
    <x v="15"/>
    <n v="715.45450000000005"/>
    <x v="7"/>
    <x v="2"/>
  </r>
  <r>
    <x v="35"/>
    <x v="12"/>
    <n v="715.625"/>
    <x v="11"/>
    <x v="0"/>
  </r>
  <r>
    <x v="23"/>
    <x v="11"/>
    <n v="717"/>
    <x v="2"/>
    <x v="2"/>
  </r>
  <r>
    <x v="9"/>
    <x v="15"/>
    <n v="718.75"/>
    <x v="7"/>
    <x v="2"/>
  </r>
  <r>
    <x v="9"/>
    <x v="11"/>
    <n v="718.75"/>
    <x v="2"/>
    <x v="2"/>
  </r>
  <r>
    <x v="23"/>
    <x v="16"/>
    <n v="719.33330000000001"/>
    <x v="3"/>
    <x v="2"/>
  </r>
  <r>
    <x v="1"/>
    <x v="15"/>
    <n v="719.72730000000001"/>
    <x v="7"/>
    <x v="2"/>
  </r>
  <r>
    <x v="2"/>
    <x v="16"/>
    <n v="721.75"/>
    <x v="3"/>
    <x v="2"/>
  </r>
  <r>
    <x v="35"/>
    <x v="11"/>
    <n v="722.85709999999995"/>
    <x v="2"/>
    <x v="2"/>
  </r>
  <r>
    <x v="0"/>
    <x v="15"/>
    <n v="723.33330000000001"/>
    <x v="7"/>
    <x v="2"/>
  </r>
  <r>
    <x v="37"/>
    <x v="16"/>
    <n v="725.55560000000003"/>
    <x v="3"/>
    <x v="2"/>
  </r>
  <r>
    <x v="23"/>
    <x v="15"/>
    <n v="727.14290000000005"/>
    <x v="7"/>
    <x v="2"/>
  </r>
  <r>
    <x v="35"/>
    <x v="16"/>
    <n v="727.2"/>
    <x v="3"/>
    <x v="2"/>
  </r>
  <r>
    <x v="18"/>
    <x v="17"/>
    <n v="730"/>
    <x v="1"/>
    <x v="2"/>
  </r>
  <r>
    <x v="8"/>
    <x v="15"/>
    <n v="735"/>
    <x v="7"/>
    <x v="2"/>
  </r>
  <r>
    <x v="8"/>
    <x v="11"/>
    <n v="735"/>
    <x v="2"/>
    <x v="2"/>
  </r>
  <r>
    <x v="10"/>
    <x v="16"/>
    <n v="735"/>
    <x v="3"/>
    <x v="2"/>
  </r>
  <r>
    <x v="22"/>
    <x v="17"/>
    <n v="740"/>
    <x v="1"/>
    <x v="2"/>
  </r>
  <r>
    <x v="10"/>
    <x v="15"/>
    <n v="741.66669999999999"/>
    <x v="7"/>
    <x v="2"/>
  </r>
  <r>
    <x v="10"/>
    <x v="11"/>
    <n v="741.66669999999999"/>
    <x v="2"/>
    <x v="2"/>
  </r>
  <r>
    <x v="18"/>
    <x v="18"/>
    <n v="742.22220000000004"/>
    <x v="6"/>
    <x v="2"/>
  </r>
  <r>
    <x v="35"/>
    <x v="15"/>
    <n v="742.30769999999995"/>
    <x v="7"/>
    <x v="2"/>
  </r>
  <r>
    <x v="33"/>
    <x v="15"/>
    <n v="742.5"/>
    <x v="7"/>
    <x v="2"/>
  </r>
  <r>
    <x v="20"/>
    <x v="17"/>
    <n v="742.5"/>
    <x v="1"/>
    <x v="2"/>
  </r>
  <r>
    <x v="2"/>
    <x v="15"/>
    <n v="743.90909999999997"/>
    <x v="7"/>
    <x v="2"/>
  </r>
  <r>
    <x v="2"/>
    <x v="11"/>
    <n v="743.90909999999997"/>
    <x v="2"/>
    <x v="2"/>
  </r>
  <r>
    <x v="7"/>
    <x v="18"/>
    <n v="745.52"/>
    <x v="6"/>
    <x v="2"/>
  </r>
  <r>
    <x v="10"/>
    <x v="12"/>
    <n v="745.71429999999998"/>
    <x v="11"/>
    <x v="0"/>
  </r>
  <r>
    <x v="35"/>
    <x v="19"/>
    <n v="746.66669999999999"/>
    <x v="4"/>
    <x v="2"/>
  </r>
  <r>
    <x v="32"/>
    <x v="15"/>
    <n v="747.22220000000004"/>
    <x v="7"/>
    <x v="2"/>
  </r>
  <r>
    <x v="17"/>
    <x v="20"/>
    <n v="747.5"/>
    <x v="9"/>
    <x v="2"/>
  </r>
  <r>
    <x v="29"/>
    <x v="15"/>
    <n v="747.85709999999995"/>
    <x v="7"/>
    <x v="2"/>
  </r>
  <r>
    <x v="25"/>
    <x v="17"/>
    <n v="748"/>
    <x v="1"/>
    <x v="2"/>
  </r>
  <r>
    <x v="8"/>
    <x v="16"/>
    <n v="749.08860000000004"/>
    <x v="3"/>
    <x v="2"/>
  </r>
  <r>
    <x v="0"/>
    <x v="18"/>
    <n v="750"/>
    <x v="6"/>
    <x v="2"/>
  </r>
  <r>
    <x v="31"/>
    <x v="15"/>
    <n v="750.17229999999995"/>
    <x v="7"/>
    <x v="2"/>
  </r>
  <r>
    <x v="21"/>
    <x v="19"/>
    <n v="750.43"/>
    <x v="4"/>
    <x v="2"/>
  </r>
  <r>
    <x v="15"/>
    <x v="18"/>
    <n v="751.42939999999999"/>
    <x v="6"/>
    <x v="2"/>
  </r>
  <r>
    <x v="28"/>
    <x v="15"/>
    <n v="751.88890000000004"/>
    <x v="7"/>
    <x v="2"/>
  </r>
  <r>
    <x v="28"/>
    <x v="11"/>
    <n v="751.88890000000004"/>
    <x v="2"/>
    <x v="2"/>
  </r>
  <r>
    <x v="21"/>
    <x v="11"/>
    <n v="754.28570000000002"/>
    <x v="2"/>
    <x v="2"/>
  </r>
  <r>
    <x v="27"/>
    <x v="18"/>
    <n v="755.35709999999995"/>
    <x v="6"/>
    <x v="2"/>
  </r>
  <r>
    <x v="37"/>
    <x v="17"/>
    <n v="759.09090000000003"/>
    <x v="1"/>
    <x v="2"/>
  </r>
  <r>
    <x v="28"/>
    <x v="12"/>
    <n v="760"/>
    <x v="11"/>
    <x v="0"/>
  </r>
  <r>
    <x v="21"/>
    <x v="15"/>
    <n v="760.38459999999998"/>
    <x v="7"/>
    <x v="2"/>
  </r>
  <r>
    <x v="28"/>
    <x v="16"/>
    <n v="761.91859999999997"/>
    <x v="3"/>
    <x v="2"/>
  </r>
  <r>
    <x v="4"/>
    <x v="18"/>
    <n v="763"/>
    <x v="6"/>
    <x v="2"/>
  </r>
  <r>
    <x v="36"/>
    <x v="17"/>
    <n v="765"/>
    <x v="1"/>
    <x v="2"/>
  </r>
  <r>
    <x v="19"/>
    <x v="20"/>
    <n v="765.29409999999996"/>
    <x v="9"/>
    <x v="2"/>
  </r>
  <r>
    <x v="23"/>
    <x v="17"/>
    <n v="766.53750000000002"/>
    <x v="1"/>
    <x v="2"/>
  </r>
  <r>
    <x v="11"/>
    <x v="17"/>
    <n v="766.94439999999997"/>
    <x v="1"/>
    <x v="2"/>
  </r>
  <r>
    <x v="14"/>
    <x v="17"/>
    <n v="768.33330000000001"/>
    <x v="1"/>
    <x v="2"/>
  </r>
  <r>
    <x v="31"/>
    <x v="17"/>
    <n v="769.61699999999996"/>
    <x v="1"/>
    <x v="2"/>
  </r>
  <r>
    <x v="24"/>
    <x v="17"/>
    <n v="770"/>
    <x v="1"/>
    <x v="2"/>
  </r>
  <r>
    <x v="30"/>
    <x v="17"/>
    <n v="770"/>
    <x v="1"/>
    <x v="2"/>
  </r>
  <r>
    <x v="31"/>
    <x v="18"/>
    <n v="770.54190000000006"/>
    <x v="6"/>
    <x v="2"/>
  </r>
  <r>
    <x v="21"/>
    <x v="13"/>
    <n v="771.42859999999996"/>
    <x v="0"/>
    <x v="2"/>
  </r>
  <r>
    <x v="6"/>
    <x v="15"/>
    <n v="773.07690000000002"/>
    <x v="7"/>
    <x v="2"/>
  </r>
  <r>
    <x v="14"/>
    <x v="15"/>
    <n v="773.75"/>
    <x v="7"/>
    <x v="2"/>
  </r>
  <r>
    <x v="32"/>
    <x v="18"/>
    <n v="774.375"/>
    <x v="6"/>
    <x v="2"/>
  </r>
  <r>
    <x v="18"/>
    <x v="12"/>
    <n v="776.5385"/>
    <x v="11"/>
    <x v="0"/>
  </r>
  <r>
    <x v="29"/>
    <x v="18"/>
    <n v="776.92309999999998"/>
    <x v="6"/>
    <x v="2"/>
  </r>
  <r>
    <x v="6"/>
    <x v="11"/>
    <n v="778.88890000000004"/>
    <x v="2"/>
    <x v="2"/>
  </r>
  <r>
    <x v="11"/>
    <x v="15"/>
    <n v="779.41959999999995"/>
    <x v="7"/>
    <x v="2"/>
  </r>
  <r>
    <x v="36"/>
    <x v="18"/>
    <n v="780.28089999999997"/>
    <x v="6"/>
    <x v="2"/>
  </r>
  <r>
    <x v="30"/>
    <x v="18"/>
    <n v="780.77139999999997"/>
    <x v="6"/>
    <x v="2"/>
  </r>
  <r>
    <x v="33"/>
    <x v="20"/>
    <n v="781.25"/>
    <x v="9"/>
    <x v="2"/>
  </r>
  <r>
    <x v="6"/>
    <x v="18"/>
    <n v="781.96209999999996"/>
    <x v="6"/>
    <x v="2"/>
  </r>
  <r>
    <x v="11"/>
    <x v="18"/>
    <n v="781.99450000000002"/>
    <x v="6"/>
    <x v="2"/>
  </r>
  <r>
    <x v="33"/>
    <x v="17"/>
    <n v="782.22220000000004"/>
    <x v="1"/>
    <x v="2"/>
  </r>
  <r>
    <x v="1"/>
    <x v="18"/>
    <n v="782.41669999999999"/>
    <x v="6"/>
    <x v="2"/>
  </r>
  <r>
    <x v="12"/>
    <x v="17"/>
    <n v="782.72730000000001"/>
    <x v="1"/>
    <x v="2"/>
  </r>
  <r>
    <x v="8"/>
    <x v="17"/>
    <n v="784.625"/>
    <x v="1"/>
    <x v="2"/>
  </r>
  <r>
    <x v="25"/>
    <x v="15"/>
    <n v="785.71429999999998"/>
    <x v="7"/>
    <x v="2"/>
  </r>
  <r>
    <x v="15"/>
    <x v="15"/>
    <n v="789.47370000000001"/>
    <x v="7"/>
    <x v="2"/>
  </r>
  <r>
    <x v="16"/>
    <x v="17"/>
    <n v="790"/>
    <x v="1"/>
    <x v="2"/>
  </r>
  <r>
    <x v="26"/>
    <x v="17"/>
    <n v="790.35709999999995"/>
    <x v="1"/>
    <x v="2"/>
  </r>
  <r>
    <x v="13"/>
    <x v="17"/>
    <n v="791"/>
    <x v="1"/>
    <x v="2"/>
  </r>
  <r>
    <x v="7"/>
    <x v="20"/>
    <n v="792.42859999999996"/>
    <x v="9"/>
    <x v="2"/>
  </r>
  <r>
    <x v="27"/>
    <x v="17"/>
    <n v="792.85709999999995"/>
    <x v="1"/>
    <x v="2"/>
  </r>
  <r>
    <x v="22"/>
    <x v="15"/>
    <n v="793.33330000000001"/>
    <x v="7"/>
    <x v="2"/>
  </r>
  <r>
    <x v="37"/>
    <x v="18"/>
    <n v="793.40769999999998"/>
    <x v="6"/>
    <x v="2"/>
  </r>
  <r>
    <x v="24"/>
    <x v="15"/>
    <n v="794.90909999999997"/>
    <x v="7"/>
    <x v="2"/>
  </r>
  <r>
    <x v="30"/>
    <x v="15"/>
    <n v="795.5"/>
    <x v="7"/>
    <x v="2"/>
  </r>
  <r>
    <x v="37"/>
    <x v="15"/>
    <n v="796.15380000000005"/>
    <x v="7"/>
    <x v="2"/>
  </r>
  <r>
    <x v="35"/>
    <x v="13"/>
    <n v="796.66669999999999"/>
    <x v="0"/>
    <x v="2"/>
  </r>
  <r>
    <x v="21"/>
    <x v="18"/>
    <n v="797.14290000000005"/>
    <x v="6"/>
    <x v="2"/>
  </r>
  <r>
    <x v="13"/>
    <x v="15"/>
    <n v="797.27269999999999"/>
    <x v="7"/>
    <x v="2"/>
  </r>
  <r>
    <x v="24"/>
    <x v="18"/>
    <n v="797.42060000000004"/>
    <x v="6"/>
    <x v="2"/>
  </r>
  <r>
    <x v="15"/>
    <x v="11"/>
    <n v="797.77779999999996"/>
    <x v="2"/>
    <x v="2"/>
  </r>
  <r>
    <x v="36"/>
    <x v="15"/>
    <n v="797.78949999999998"/>
    <x v="7"/>
    <x v="2"/>
  </r>
  <r>
    <x v="32"/>
    <x v="17"/>
    <n v="798"/>
    <x v="1"/>
    <x v="2"/>
  </r>
  <r>
    <x v="10"/>
    <x v="17"/>
    <n v="798.6"/>
    <x v="1"/>
    <x v="2"/>
  </r>
  <r>
    <x v="2"/>
    <x v="17"/>
    <n v="800.31820000000005"/>
    <x v="1"/>
    <x v="2"/>
  </r>
  <r>
    <x v="8"/>
    <x v="18"/>
    <n v="800.88160000000005"/>
    <x v="6"/>
    <x v="2"/>
  </r>
  <r>
    <x v="16"/>
    <x v="15"/>
    <n v="807.77779999999996"/>
    <x v="7"/>
    <x v="2"/>
  </r>
  <r>
    <x v="35"/>
    <x v="20"/>
    <n v="808.66669999999999"/>
    <x v="9"/>
    <x v="2"/>
  </r>
  <r>
    <x v="20"/>
    <x v="18"/>
    <n v="808.84619999999995"/>
    <x v="6"/>
    <x v="2"/>
  </r>
  <r>
    <x v="23"/>
    <x v="18"/>
    <n v="809.15"/>
    <x v="6"/>
    <x v="2"/>
  </r>
  <r>
    <x v="10"/>
    <x v="18"/>
    <n v="809.73329999999999"/>
    <x v="6"/>
    <x v="2"/>
  </r>
  <r>
    <x v="12"/>
    <x v="15"/>
    <n v="810"/>
    <x v="7"/>
    <x v="2"/>
  </r>
  <r>
    <x v="4"/>
    <x v="17"/>
    <n v="815.9375"/>
    <x v="1"/>
    <x v="2"/>
  </r>
  <r>
    <x v="9"/>
    <x v="18"/>
    <n v="816.25"/>
    <x v="6"/>
    <x v="2"/>
  </r>
  <r>
    <x v="28"/>
    <x v="17"/>
    <n v="818.375"/>
    <x v="1"/>
    <x v="2"/>
  </r>
  <r>
    <x v="35"/>
    <x v="18"/>
    <n v="822.14290000000005"/>
    <x v="6"/>
    <x v="2"/>
  </r>
  <r>
    <x v="28"/>
    <x v="18"/>
    <n v="826.54549999999995"/>
    <x v="6"/>
    <x v="2"/>
  </r>
  <r>
    <x v="2"/>
    <x v="18"/>
    <n v="829.46429999999998"/>
    <x v="6"/>
    <x v="2"/>
  </r>
  <r>
    <x v="31"/>
    <x v="20"/>
    <n v="830.45500000000004"/>
    <x v="9"/>
    <x v="2"/>
  </r>
  <r>
    <x v="32"/>
    <x v="20"/>
    <n v="830.83330000000001"/>
    <x v="9"/>
    <x v="2"/>
  </r>
  <r>
    <x v="21"/>
    <x v="17"/>
    <n v="835.83330000000001"/>
    <x v="1"/>
    <x v="2"/>
  </r>
  <r>
    <x v="26"/>
    <x v="18"/>
    <n v="842.14290000000005"/>
    <x v="6"/>
    <x v="2"/>
  </r>
  <r>
    <x v="15"/>
    <x v="20"/>
    <n v="842.80560000000003"/>
    <x v="9"/>
    <x v="2"/>
  </r>
  <r>
    <x v="29"/>
    <x v="20"/>
    <n v="846.66669999999999"/>
    <x v="9"/>
    <x v="2"/>
  </r>
  <r>
    <x v="5"/>
    <x v="18"/>
    <n v="846.94579999999996"/>
    <x v="6"/>
    <x v="2"/>
  </r>
  <r>
    <x v="34"/>
    <x v="15"/>
    <n v="847"/>
    <x v="7"/>
    <x v="2"/>
  </r>
  <r>
    <x v="5"/>
    <x v="15"/>
    <n v="854.54549999999995"/>
    <x v="7"/>
    <x v="2"/>
  </r>
  <r>
    <x v="0"/>
    <x v="20"/>
    <n v="855.71429999999998"/>
    <x v="9"/>
    <x v="2"/>
  </r>
  <r>
    <x v="26"/>
    <x v="20"/>
    <n v="856.15380000000005"/>
    <x v="9"/>
    <x v="2"/>
  </r>
  <r>
    <x v="30"/>
    <x v="20"/>
    <n v="863.3143"/>
    <x v="9"/>
    <x v="2"/>
  </r>
  <r>
    <x v="20"/>
    <x v="20"/>
    <n v="865.625"/>
    <x v="9"/>
    <x v="2"/>
  </r>
  <r>
    <x v="18"/>
    <x v="20"/>
    <n v="865.88239999999996"/>
    <x v="9"/>
    <x v="2"/>
  </r>
  <r>
    <x v="36"/>
    <x v="20"/>
    <n v="871.8877"/>
    <x v="9"/>
    <x v="2"/>
  </r>
  <r>
    <x v="0"/>
    <x v="17"/>
    <n v="872.5"/>
    <x v="1"/>
    <x v="2"/>
  </r>
  <r>
    <x v="6"/>
    <x v="20"/>
    <n v="876.07690000000002"/>
    <x v="9"/>
    <x v="2"/>
  </r>
  <r>
    <x v="1"/>
    <x v="20"/>
    <n v="876.15380000000005"/>
    <x v="9"/>
    <x v="2"/>
  </r>
  <r>
    <x v="10"/>
    <x v="20"/>
    <n v="879.55550000000005"/>
    <x v="9"/>
    <x v="2"/>
  </r>
  <r>
    <x v="35"/>
    <x v="17"/>
    <n v="880"/>
    <x v="1"/>
    <x v="2"/>
  </r>
  <r>
    <x v="27"/>
    <x v="20"/>
    <n v="881.42859999999996"/>
    <x v="9"/>
    <x v="2"/>
  </r>
  <r>
    <x v="5"/>
    <x v="17"/>
    <n v="882.22220000000004"/>
    <x v="1"/>
    <x v="2"/>
  </r>
  <r>
    <x v="29"/>
    <x v="17"/>
    <n v="882.66669999999999"/>
    <x v="1"/>
    <x v="2"/>
  </r>
  <r>
    <x v="11"/>
    <x v="20"/>
    <n v="883.73040000000003"/>
    <x v="9"/>
    <x v="2"/>
  </r>
  <r>
    <x v="4"/>
    <x v="20"/>
    <n v="887.05560000000003"/>
    <x v="9"/>
    <x v="2"/>
  </r>
  <r>
    <x v="21"/>
    <x v="20"/>
    <n v="887.69230000000005"/>
    <x v="9"/>
    <x v="2"/>
  </r>
  <r>
    <x v="24"/>
    <x v="20"/>
    <n v="887.72310000000004"/>
    <x v="9"/>
    <x v="2"/>
  </r>
  <r>
    <x v="37"/>
    <x v="20"/>
    <n v="891.92729999999995"/>
    <x v="9"/>
    <x v="2"/>
  </r>
  <r>
    <x v="2"/>
    <x v="20"/>
    <n v="893.29169999999999"/>
    <x v="9"/>
    <x v="2"/>
  </r>
  <r>
    <x v="28"/>
    <x v="20"/>
    <n v="899.67139999999995"/>
    <x v="9"/>
    <x v="2"/>
  </r>
  <r>
    <x v="34"/>
    <x v="20"/>
    <n v="902.66669999999999"/>
    <x v="9"/>
    <x v="2"/>
  </r>
  <r>
    <x v="34"/>
    <x v="18"/>
    <n v="903.07690000000002"/>
    <x v="6"/>
    <x v="2"/>
  </r>
  <r>
    <x v="8"/>
    <x v="20"/>
    <n v="916"/>
    <x v="9"/>
    <x v="2"/>
  </r>
  <r>
    <x v="23"/>
    <x v="20"/>
    <n v="925"/>
    <x v="9"/>
    <x v="2"/>
  </r>
  <r>
    <x v="9"/>
    <x v="20"/>
    <n v="935.71429999999998"/>
    <x v="9"/>
    <x v="2"/>
  </r>
  <r>
    <x v="34"/>
    <x v="17"/>
    <n v="937.5"/>
    <x v="1"/>
    <x v="2"/>
  </r>
  <r>
    <x v="8"/>
    <x v="21"/>
    <n v="939.375"/>
    <x v="10"/>
    <x v="2"/>
  </r>
  <r>
    <x v="5"/>
    <x v="20"/>
    <n v="941.24220000000003"/>
    <x v="9"/>
    <x v="2"/>
  </r>
  <r>
    <x v="26"/>
    <x v="22"/>
    <n v="950"/>
    <x v="0"/>
    <x v="3"/>
  </r>
  <r>
    <x v="33"/>
    <x v="18"/>
    <n v="950"/>
    <x v="6"/>
    <x v="2"/>
  </r>
  <r>
    <x v="32"/>
    <x v="23"/>
    <n v="956.66669999999999"/>
    <x v="4"/>
    <x v="3"/>
  </r>
  <r>
    <x v="20"/>
    <x v="23"/>
    <n v="956.66669999999999"/>
    <x v="4"/>
    <x v="3"/>
  </r>
  <r>
    <x v="0"/>
    <x v="21"/>
    <n v="961.66669999999999"/>
    <x v="10"/>
    <x v="2"/>
  </r>
  <r>
    <x v="32"/>
    <x v="24"/>
    <n v="963.40229999999997"/>
    <x v="3"/>
    <x v="3"/>
  </r>
  <r>
    <x v="8"/>
    <x v="25"/>
    <n v="970"/>
    <x v="2"/>
    <x v="3"/>
  </r>
  <r>
    <x v="26"/>
    <x v="23"/>
    <n v="972.5"/>
    <x v="4"/>
    <x v="3"/>
  </r>
  <r>
    <x v="19"/>
    <x v="24"/>
    <n v="975"/>
    <x v="3"/>
    <x v="3"/>
  </r>
  <r>
    <x v="19"/>
    <x v="23"/>
    <n v="975.55560000000003"/>
    <x v="4"/>
    <x v="3"/>
  </r>
  <r>
    <x v="26"/>
    <x v="24"/>
    <n v="980"/>
    <x v="3"/>
    <x v="3"/>
  </r>
  <r>
    <x v="20"/>
    <x v="24"/>
    <n v="982"/>
    <x v="3"/>
    <x v="3"/>
  </r>
  <r>
    <x v="35"/>
    <x v="21"/>
    <n v="986.66669999999999"/>
    <x v="10"/>
    <x v="2"/>
  </r>
  <r>
    <x v="23"/>
    <x v="21"/>
    <n v="990"/>
    <x v="10"/>
    <x v="2"/>
  </r>
  <r>
    <x v="36"/>
    <x v="21"/>
    <n v="990.08749999999998"/>
    <x v="10"/>
    <x v="2"/>
  </r>
  <r>
    <x v="7"/>
    <x v="21"/>
    <n v="993.88570000000004"/>
    <x v="10"/>
    <x v="2"/>
  </r>
  <r>
    <x v="13"/>
    <x v="24"/>
    <n v="1000"/>
    <x v="3"/>
    <x v="3"/>
  </r>
  <r>
    <x v="13"/>
    <x v="23"/>
    <n v="1000"/>
    <x v="4"/>
    <x v="3"/>
  </r>
  <r>
    <x v="13"/>
    <x v="22"/>
    <n v="1000"/>
    <x v="0"/>
    <x v="3"/>
  </r>
  <r>
    <x v="19"/>
    <x v="21"/>
    <n v="1000.4761999999999"/>
    <x v="10"/>
    <x v="2"/>
  </r>
  <r>
    <x v="37"/>
    <x v="21"/>
    <n v="1002.6909000000001"/>
    <x v="10"/>
    <x v="2"/>
  </r>
  <r>
    <x v="13"/>
    <x v="21"/>
    <n v="1002.7273"/>
    <x v="10"/>
    <x v="2"/>
  </r>
  <r>
    <x v="2"/>
    <x v="21"/>
    <n v="1004.0909"/>
    <x v="10"/>
    <x v="2"/>
  </r>
  <r>
    <x v="22"/>
    <x v="21"/>
    <n v="1005.5556"/>
    <x v="10"/>
    <x v="2"/>
  </r>
  <r>
    <x v="29"/>
    <x v="23"/>
    <n v="1005.5571"/>
    <x v="4"/>
    <x v="3"/>
  </r>
  <r>
    <x v="29"/>
    <x v="21"/>
    <n v="1006.6667"/>
    <x v="10"/>
    <x v="2"/>
  </r>
  <r>
    <x v="25"/>
    <x v="21"/>
    <n v="1007.2727"/>
    <x v="10"/>
    <x v="2"/>
  </r>
  <r>
    <x v="24"/>
    <x v="21"/>
    <n v="1009"/>
    <x v="10"/>
    <x v="2"/>
  </r>
  <r>
    <x v="26"/>
    <x v="21"/>
    <n v="1009.375"/>
    <x v="10"/>
    <x v="2"/>
  </r>
  <r>
    <x v="17"/>
    <x v="25"/>
    <n v="1014.8508"/>
    <x v="2"/>
    <x v="3"/>
  </r>
  <r>
    <x v="20"/>
    <x v="22"/>
    <n v="1015"/>
    <x v="0"/>
    <x v="3"/>
  </r>
  <r>
    <x v="6"/>
    <x v="21"/>
    <n v="1016.1875"/>
    <x v="10"/>
    <x v="2"/>
  </r>
  <r>
    <x v="18"/>
    <x v="21"/>
    <n v="1016.9231"/>
    <x v="10"/>
    <x v="2"/>
  </r>
  <r>
    <x v="11"/>
    <x v="23"/>
    <n v="1021.6667"/>
    <x v="4"/>
    <x v="3"/>
  </r>
  <r>
    <x v="21"/>
    <x v="21"/>
    <n v="1022"/>
    <x v="10"/>
    <x v="2"/>
  </r>
  <r>
    <x v="3"/>
    <x v="21"/>
    <n v="1025"/>
    <x v="10"/>
    <x v="2"/>
  </r>
  <r>
    <x v="28"/>
    <x v="21"/>
    <n v="1027.4444000000001"/>
    <x v="10"/>
    <x v="2"/>
  </r>
  <r>
    <x v="31"/>
    <x v="21"/>
    <n v="1030.4634000000001"/>
    <x v="10"/>
    <x v="2"/>
  </r>
  <r>
    <x v="5"/>
    <x v="21"/>
    <n v="1032.8784000000001"/>
    <x v="10"/>
    <x v="2"/>
  </r>
  <r>
    <x v="32"/>
    <x v="21"/>
    <n v="1039.3333"/>
    <x v="10"/>
    <x v="2"/>
  </r>
  <r>
    <x v="26"/>
    <x v="25"/>
    <n v="1042.4927"/>
    <x v="2"/>
    <x v="3"/>
  </r>
  <r>
    <x v="9"/>
    <x v="21"/>
    <n v="1043.9091000000001"/>
    <x v="10"/>
    <x v="2"/>
  </r>
  <r>
    <x v="12"/>
    <x v="21"/>
    <n v="1045"/>
    <x v="10"/>
    <x v="2"/>
  </r>
  <r>
    <x v="17"/>
    <x v="21"/>
    <n v="1045.4375"/>
    <x v="10"/>
    <x v="2"/>
  </r>
  <r>
    <x v="25"/>
    <x v="26"/>
    <n v="1050"/>
    <x v="8"/>
    <x v="2"/>
  </r>
  <r>
    <x v="27"/>
    <x v="21"/>
    <n v="1051.2"/>
    <x v="10"/>
    <x v="2"/>
  </r>
  <r>
    <x v="23"/>
    <x v="25"/>
    <n v="1060.9260999999999"/>
    <x v="2"/>
    <x v="3"/>
  </r>
  <r>
    <x v="14"/>
    <x v="21"/>
    <n v="1062.5"/>
    <x v="10"/>
    <x v="2"/>
  </r>
  <r>
    <x v="15"/>
    <x v="21"/>
    <n v="1063.0907999999999"/>
    <x v="10"/>
    <x v="2"/>
  </r>
  <r>
    <x v="34"/>
    <x v="21"/>
    <n v="1063.3333"/>
    <x v="10"/>
    <x v="2"/>
  </r>
  <r>
    <x v="6"/>
    <x v="26"/>
    <n v="1063.6841999999999"/>
    <x v="8"/>
    <x v="2"/>
  </r>
  <r>
    <x v="19"/>
    <x v="25"/>
    <n v="1064.5762"/>
    <x v="2"/>
    <x v="3"/>
  </r>
  <r>
    <x v="2"/>
    <x v="23"/>
    <n v="1066.6667"/>
    <x v="4"/>
    <x v="3"/>
  </r>
  <r>
    <x v="2"/>
    <x v="22"/>
    <n v="1066.6667"/>
    <x v="0"/>
    <x v="3"/>
  </r>
  <r>
    <x v="17"/>
    <x v="23"/>
    <n v="1070"/>
    <x v="4"/>
    <x v="3"/>
  </r>
  <r>
    <x v="1"/>
    <x v="21"/>
    <n v="1073.1818000000001"/>
    <x v="10"/>
    <x v="2"/>
  </r>
  <r>
    <x v="4"/>
    <x v="21"/>
    <n v="1074.6153999999999"/>
    <x v="10"/>
    <x v="2"/>
  </r>
  <r>
    <x v="8"/>
    <x v="23"/>
    <n v="1075"/>
    <x v="4"/>
    <x v="3"/>
  </r>
  <r>
    <x v="20"/>
    <x v="21"/>
    <n v="1076.1111000000001"/>
    <x v="10"/>
    <x v="2"/>
  </r>
  <r>
    <x v="11"/>
    <x v="22"/>
    <n v="1080"/>
    <x v="0"/>
    <x v="3"/>
  </r>
  <r>
    <x v="19"/>
    <x v="26"/>
    <n v="1080.9523999999999"/>
    <x v="8"/>
    <x v="2"/>
  </r>
  <r>
    <x v="10"/>
    <x v="21"/>
    <n v="1082.5"/>
    <x v="10"/>
    <x v="2"/>
  </r>
  <r>
    <x v="11"/>
    <x v="21"/>
    <n v="1084.1572000000001"/>
    <x v="10"/>
    <x v="2"/>
  </r>
  <r>
    <x v="16"/>
    <x v="21"/>
    <n v="1085.7143000000001"/>
    <x v="10"/>
    <x v="2"/>
  </r>
  <r>
    <x v="7"/>
    <x v="26"/>
    <n v="1088.0721000000001"/>
    <x v="8"/>
    <x v="2"/>
  </r>
  <r>
    <x v="20"/>
    <x v="27"/>
    <n v="1088.75"/>
    <x v="11"/>
    <x v="2"/>
  </r>
  <r>
    <x v="9"/>
    <x v="23"/>
    <n v="1090"/>
    <x v="4"/>
    <x v="3"/>
  </r>
  <r>
    <x v="35"/>
    <x v="23"/>
    <n v="1090"/>
    <x v="4"/>
    <x v="3"/>
  </r>
  <r>
    <x v="23"/>
    <x v="22"/>
    <n v="1090"/>
    <x v="0"/>
    <x v="3"/>
  </r>
  <r>
    <x v="35"/>
    <x v="22"/>
    <n v="1090"/>
    <x v="0"/>
    <x v="3"/>
  </r>
  <r>
    <x v="30"/>
    <x v="21"/>
    <n v="1090.9375"/>
    <x v="10"/>
    <x v="2"/>
  </r>
  <r>
    <x v="19"/>
    <x v="28"/>
    <n v="1092.7895000000001"/>
    <x v="12"/>
    <x v="2"/>
  </r>
  <r>
    <x v="23"/>
    <x v="23"/>
    <n v="1093.3333"/>
    <x v="4"/>
    <x v="3"/>
  </r>
  <r>
    <x v="33"/>
    <x v="21"/>
    <n v="1096.1538"/>
    <x v="10"/>
    <x v="2"/>
  </r>
  <r>
    <x v="29"/>
    <x v="24"/>
    <n v="1099.6582000000001"/>
    <x v="3"/>
    <x v="3"/>
  </r>
  <r>
    <x v="33"/>
    <x v="26"/>
    <n v="1100"/>
    <x v="8"/>
    <x v="2"/>
  </r>
  <r>
    <x v="3"/>
    <x v="27"/>
    <n v="1102.25"/>
    <x v="11"/>
    <x v="2"/>
  </r>
  <r>
    <x v="21"/>
    <x v="22"/>
    <n v="1104.2856999999999"/>
    <x v="0"/>
    <x v="3"/>
  </r>
  <r>
    <x v="18"/>
    <x v="23"/>
    <n v="1105"/>
    <x v="4"/>
    <x v="3"/>
  </r>
  <r>
    <x v="18"/>
    <x v="27"/>
    <n v="1106.0667000000001"/>
    <x v="11"/>
    <x v="2"/>
  </r>
  <r>
    <x v="17"/>
    <x v="24"/>
    <n v="1106.143"/>
    <x v="3"/>
    <x v="3"/>
  </r>
  <r>
    <x v="19"/>
    <x v="27"/>
    <n v="1106.3333"/>
    <x v="11"/>
    <x v="2"/>
  </r>
  <r>
    <x v="0"/>
    <x v="26"/>
    <n v="1110"/>
    <x v="8"/>
    <x v="2"/>
  </r>
  <r>
    <x v="33"/>
    <x v="25"/>
    <n v="1111.9375"/>
    <x v="2"/>
    <x v="3"/>
  </r>
  <r>
    <x v="8"/>
    <x v="22"/>
    <n v="1112.5"/>
    <x v="0"/>
    <x v="3"/>
  </r>
  <r>
    <x v="0"/>
    <x v="27"/>
    <n v="1113.3333"/>
    <x v="11"/>
    <x v="2"/>
  </r>
  <r>
    <x v="8"/>
    <x v="24"/>
    <n v="1114.1143999999999"/>
    <x v="3"/>
    <x v="3"/>
  </r>
  <r>
    <x v="15"/>
    <x v="22"/>
    <n v="1114.2856999999999"/>
    <x v="0"/>
    <x v="3"/>
  </r>
  <r>
    <x v="32"/>
    <x v="26"/>
    <n v="1116.4706000000001"/>
    <x v="8"/>
    <x v="2"/>
  </r>
  <r>
    <x v="30"/>
    <x v="25"/>
    <n v="1118.7982"/>
    <x v="2"/>
    <x v="3"/>
  </r>
  <r>
    <x v="32"/>
    <x v="27"/>
    <n v="1120"/>
    <x v="11"/>
    <x v="2"/>
  </r>
  <r>
    <x v="33"/>
    <x v="28"/>
    <n v="1121.25"/>
    <x v="12"/>
    <x v="2"/>
  </r>
  <r>
    <x v="19"/>
    <x v="22"/>
    <n v="1122.2221999999999"/>
    <x v="0"/>
    <x v="3"/>
  </r>
  <r>
    <x v="3"/>
    <x v="26"/>
    <n v="1124.6125"/>
    <x v="8"/>
    <x v="2"/>
  </r>
  <r>
    <x v="9"/>
    <x v="24"/>
    <n v="1125.549"/>
    <x v="3"/>
    <x v="3"/>
  </r>
  <r>
    <x v="35"/>
    <x v="24"/>
    <n v="1125.549"/>
    <x v="3"/>
    <x v="3"/>
  </r>
  <r>
    <x v="5"/>
    <x v="26"/>
    <n v="1127.3728000000001"/>
    <x v="8"/>
    <x v="2"/>
  </r>
  <r>
    <x v="12"/>
    <x v="23"/>
    <n v="1131.1111000000001"/>
    <x v="4"/>
    <x v="3"/>
  </r>
  <r>
    <x v="25"/>
    <x v="23"/>
    <n v="1131.4286"/>
    <x v="4"/>
    <x v="3"/>
  </r>
  <r>
    <x v="17"/>
    <x v="27"/>
    <n v="1133.0769"/>
    <x v="11"/>
    <x v="2"/>
  </r>
  <r>
    <x v="30"/>
    <x v="22"/>
    <n v="1133.3333"/>
    <x v="0"/>
    <x v="3"/>
  </r>
  <r>
    <x v="26"/>
    <x v="27"/>
    <n v="1137.0588"/>
    <x v="11"/>
    <x v="2"/>
  </r>
  <r>
    <x v="29"/>
    <x v="27"/>
    <n v="1137.7778000000001"/>
    <x v="11"/>
    <x v="2"/>
  </r>
  <r>
    <x v="2"/>
    <x v="24"/>
    <n v="1138.7"/>
    <x v="3"/>
    <x v="3"/>
  </r>
  <r>
    <x v="16"/>
    <x v="25"/>
    <n v="1139"/>
    <x v="2"/>
    <x v="3"/>
  </r>
  <r>
    <x v="30"/>
    <x v="23"/>
    <n v="1140"/>
    <x v="4"/>
    <x v="3"/>
  </r>
  <r>
    <x v="18"/>
    <x v="22"/>
    <n v="1141.6667"/>
    <x v="0"/>
    <x v="3"/>
  </r>
  <r>
    <x v="29"/>
    <x v="22"/>
    <n v="1141.7"/>
    <x v="0"/>
    <x v="3"/>
  </r>
  <r>
    <x v="14"/>
    <x v="27"/>
    <n v="1142.4000000000001"/>
    <x v="11"/>
    <x v="2"/>
  </r>
  <r>
    <x v="11"/>
    <x v="24"/>
    <n v="1142.4487999999999"/>
    <x v="3"/>
    <x v="3"/>
  </r>
  <r>
    <x v="18"/>
    <x v="24"/>
    <n v="1143.7905000000001"/>
    <x v="3"/>
    <x v="3"/>
  </r>
  <r>
    <x v="14"/>
    <x v="22"/>
    <n v="1146"/>
    <x v="0"/>
    <x v="3"/>
  </r>
  <r>
    <x v="16"/>
    <x v="27"/>
    <n v="1146.9375"/>
    <x v="11"/>
    <x v="2"/>
  </r>
  <r>
    <x v="29"/>
    <x v="25"/>
    <n v="1148.4227000000001"/>
    <x v="2"/>
    <x v="3"/>
  </r>
  <r>
    <x v="35"/>
    <x v="25"/>
    <n v="1148.9099000000001"/>
    <x v="2"/>
    <x v="3"/>
  </r>
  <r>
    <x v="3"/>
    <x v="24"/>
    <n v="1149.4146000000001"/>
    <x v="3"/>
    <x v="3"/>
  </r>
  <r>
    <x v="27"/>
    <x v="27"/>
    <n v="1152.1429000000001"/>
    <x v="11"/>
    <x v="2"/>
  </r>
  <r>
    <x v="27"/>
    <x v="28"/>
    <n v="1152.8570999999999"/>
    <x v="12"/>
    <x v="2"/>
  </r>
  <r>
    <x v="2"/>
    <x v="25"/>
    <n v="1153.3333"/>
    <x v="2"/>
    <x v="3"/>
  </r>
  <r>
    <x v="12"/>
    <x v="26"/>
    <n v="1154.2727"/>
    <x v="8"/>
    <x v="2"/>
  </r>
  <r>
    <x v="18"/>
    <x v="28"/>
    <n v="1154.7367999999999"/>
    <x v="12"/>
    <x v="2"/>
  </r>
  <r>
    <x v="23"/>
    <x v="24"/>
    <n v="1155.4083000000001"/>
    <x v="3"/>
    <x v="3"/>
  </r>
  <r>
    <x v="29"/>
    <x v="28"/>
    <n v="1155.5555999999999"/>
    <x v="12"/>
    <x v="2"/>
  </r>
  <r>
    <x v="6"/>
    <x v="27"/>
    <n v="1157.1429000000001"/>
    <x v="11"/>
    <x v="2"/>
  </r>
  <r>
    <x v="21"/>
    <x v="27"/>
    <n v="1160"/>
    <x v="11"/>
    <x v="2"/>
  </r>
  <r>
    <x v="18"/>
    <x v="26"/>
    <n v="1161.1111000000001"/>
    <x v="8"/>
    <x v="2"/>
  </r>
  <r>
    <x v="4"/>
    <x v="27"/>
    <n v="1161.2"/>
    <x v="11"/>
    <x v="2"/>
  </r>
  <r>
    <x v="25"/>
    <x v="25"/>
    <n v="1161.4136000000001"/>
    <x v="2"/>
    <x v="3"/>
  </r>
  <r>
    <x v="13"/>
    <x v="27"/>
    <n v="1161.875"/>
    <x v="11"/>
    <x v="2"/>
  </r>
  <r>
    <x v="17"/>
    <x v="26"/>
    <n v="1162.4614999999999"/>
    <x v="8"/>
    <x v="2"/>
  </r>
  <r>
    <x v="16"/>
    <x v="23"/>
    <n v="1162.5"/>
    <x v="4"/>
    <x v="3"/>
  </r>
  <r>
    <x v="0"/>
    <x v="28"/>
    <n v="1162.8570999999999"/>
    <x v="12"/>
    <x v="2"/>
  </r>
  <r>
    <x v="4"/>
    <x v="26"/>
    <n v="1163.7"/>
    <x v="8"/>
    <x v="2"/>
  </r>
  <r>
    <x v="21"/>
    <x v="26"/>
    <n v="1164.2856999999999"/>
    <x v="8"/>
    <x v="2"/>
  </r>
  <r>
    <x v="12"/>
    <x v="27"/>
    <n v="1164.9061999999999"/>
    <x v="11"/>
    <x v="2"/>
  </r>
  <r>
    <x v="3"/>
    <x v="23"/>
    <n v="1166"/>
    <x v="4"/>
    <x v="3"/>
  </r>
  <r>
    <x v="18"/>
    <x v="25"/>
    <n v="1166.2384999999999"/>
    <x v="2"/>
    <x v="3"/>
  </r>
  <r>
    <x v="20"/>
    <x v="28"/>
    <n v="1166.3158000000001"/>
    <x v="12"/>
    <x v="2"/>
  </r>
  <r>
    <x v="25"/>
    <x v="28"/>
    <n v="1170.3570999999999"/>
    <x v="12"/>
    <x v="2"/>
  </r>
  <r>
    <x v="27"/>
    <x v="26"/>
    <n v="1170.8333"/>
    <x v="8"/>
    <x v="2"/>
  </r>
  <r>
    <x v="1"/>
    <x v="26"/>
    <n v="1171.25"/>
    <x v="8"/>
    <x v="2"/>
  </r>
  <r>
    <x v="26"/>
    <x v="28"/>
    <n v="1171.875"/>
    <x v="12"/>
    <x v="2"/>
  </r>
  <r>
    <x v="17"/>
    <x v="22"/>
    <n v="1171.9969000000001"/>
    <x v="0"/>
    <x v="3"/>
  </r>
  <r>
    <x v="29"/>
    <x v="26"/>
    <n v="1172.8570999999999"/>
    <x v="8"/>
    <x v="2"/>
  </r>
  <r>
    <x v="17"/>
    <x v="28"/>
    <n v="1173.0615"/>
    <x v="12"/>
    <x v="2"/>
  </r>
  <r>
    <x v="7"/>
    <x v="28"/>
    <n v="1173.1839"/>
    <x v="12"/>
    <x v="2"/>
  </r>
  <r>
    <x v="12"/>
    <x v="24"/>
    <n v="1175.5442"/>
    <x v="3"/>
    <x v="3"/>
  </r>
  <r>
    <x v="25"/>
    <x v="24"/>
    <n v="1175.9303"/>
    <x v="3"/>
    <x v="3"/>
  </r>
  <r>
    <x v="7"/>
    <x v="27"/>
    <n v="1176.0714"/>
    <x v="11"/>
    <x v="2"/>
  </r>
  <r>
    <x v="23"/>
    <x v="27"/>
    <n v="1176.125"/>
    <x v="11"/>
    <x v="2"/>
  </r>
  <r>
    <x v="26"/>
    <x v="26"/>
    <n v="1176.3158000000001"/>
    <x v="8"/>
    <x v="2"/>
  </r>
  <r>
    <x v="32"/>
    <x v="22"/>
    <n v="1180"/>
    <x v="0"/>
    <x v="3"/>
  </r>
  <r>
    <x v="8"/>
    <x v="26"/>
    <n v="1180.0962"/>
    <x v="8"/>
    <x v="2"/>
  </r>
  <r>
    <x v="3"/>
    <x v="25"/>
    <n v="1180.4167"/>
    <x v="2"/>
    <x v="3"/>
  </r>
  <r>
    <x v="9"/>
    <x v="28"/>
    <n v="1181.6922999999999"/>
    <x v="12"/>
    <x v="2"/>
  </r>
  <r>
    <x v="6"/>
    <x v="28"/>
    <n v="1181.8864000000001"/>
    <x v="12"/>
    <x v="2"/>
  </r>
  <r>
    <x v="3"/>
    <x v="22"/>
    <n v="1182"/>
    <x v="0"/>
    <x v="3"/>
  </r>
  <r>
    <x v="32"/>
    <x v="28"/>
    <n v="1182.3810000000001"/>
    <x v="12"/>
    <x v="2"/>
  </r>
  <r>
    <x v="9"/>
    <x v="27"/>
    <n v="1183.4773"/>
    <x v="11"/>
    <x v="2"/>
  </r>
  <r>
    <x v="20"/>
    <x v="25"/>
    <n v="1183.7945"/>
    <x v="2"/>
    <x v="3"/>
  </r>
  <r>
    <x v="16"/>
    <x v="24"/>
    <n v="1184.0563"/>
    <x v="3"/>
    <x v="3"/>
  </r>
  <r>
    <x v="31"/>
    <x v="26"/>
    <n v="1184.8253999999999"/>
    <x v="8"/>
    <x v="2"/>
  </r>
  <r>
    <x v="13"/>
    <x v="25"/>
    <n v="1185.9000000000001"/>
    <x v="2"/>
    <x v="3"/>
  </r>
  <r>
    <x v="35"/>
    <x v="28"/>
    <n v="1186.25"/>
    <x v="12"/>
    <x v="2"/>
  </r>
  <r>
    <x v="30"/>
    <x v="24"/>
    <n v="1186.354"/>
    <x v="3"/>
    <x v="3"/>
  </r>
  <r>
    <x v="9"/>
    <x v="25"/>
    <n v="1186.9822999999999"/>
    <x v="2"/>
    <x v="3"/>
  </r>
  <r>
    <x v="33"/>
    <x v="27"/>
    <n v="1187.5"/>
    <x v="11"/>
    <x v="2"/>
  </r>
  <r>
    <x v="14"/>
    <x v="28"/>
    <n v="1187.6070999999999"/>
    <x v="12"/>
    <x v="2"/>
  </r>
  <r>
    <x v="15"/>
    <x v="27"/>
    <n v="1188.1818000000001"/>
    <x v="11"/>
    <x v="2"/>
  </r>
  <r>
    <x v="20"/>
    <x v="26"/>
    <n v="1188.75"/>
    <x v="8"/>
    <x v="2"/>
  </r>
  <r>
    <x v="31"/>
    <x v="27"/>
    <n v="1189.1212"/>
    <x v="11"/>
    <x v="2"/>
  </r>
  <r>
    <x v="35"/>
    <x v="26"/>
    <n v="1189.25"/>
    <x v="8"/>
    <x v="2"/>
  </r>
  <r>
    <x v="36"/>
    <x v="26"/>
    <n v="1192.2008000000001"/>
    <x v="8"/>
    <x v="2"/>
  </r>
  <r>
    <x v="21"/>
    <x v="28"/>
    <n v="1192.3077000000001"/>
    <x v="12"/>
    <x v="2"/>
  </r>
  <r>
    <x v="15"/>
    <x v="26"/>
    <n v="1193.1374000000001"/>
    <x v="8"/>
    <x v="2"/>
  </r>
  <r>
    <x v="4"/>
    <x v="28"/>
    <n v="1193.75"/>
    <x v="12"/>
    <x v="2"/>
  </r>
  <r>
    <x v="35"/>
    <x v="27"/>
    <n v="1194"/>
    <x v="11"/>
    <x v="2"/>
  </r>
  <r>
    <x v="9"/>
    <x v="26"/>
    <n v="1194.2856999999999"/>
    <x v="8"/>
    <x v="2"/>
  </r>
  <r>
    <x v="37"/>
    <x v="27"/>
    <n v="1198.8891000000001"/>
    <x v="11"/>
    <x v="2"/>
  </r>
  <r>
    <x v="21"/>
    <x v="24"/>
    <n v="1200.6319000000001"/>
    <x v="3"/>
    <x v="3"/>
  </r>
  <r>
    <x v="16"/>
    <x v="28"/>
    <n v="1203.9286"/>
    <x v="12"/>
    <x v="2"/>
  </r>
  <r>
    <x v="21"/>
    <x v="23"/>
    <n v="1204.2856999999999"/>
    <x v="4"/>
    <x v="3"/>
  </r>
  <r>
    <x v="13"/>
    <x v="28"/>
    <n v="1209.1667"/>
    <x v="12"/>
    <x v="2"/>
  </r>
  <r>
    <x v="10"/>
    <x v="26"/>
    <n v="1210.925"/>
    <x v="8"/>
    <x v="2"/>
  </r>
  <r>
    <x v="31"/>
    <x v="28"/>
    <n v="1214.1675"/>
    <x v="12"/>
    <x v="2"/>
  </r>
  <r>
    <x v="22"/>
    <x v="28"/>
    <n v="1218.5417"/>
    <x v="12"/>
    <x v="2"/>
  </r>
  <r>
    <x v="15"/>
    <x v="23"/>
    <n v="1221.4286"/>
    <x v="4"/>
    <x v="3"/>
  </r>
  <r>
    <x v="8"/>
    <x v="28"/>
    <n v="1222.7273"/>
    <x v="12"/>
    <x v="2"/>
  </r>
  <r>
    <x v="21"/>
    <x v="25"/>
    <n v="1223.8859"/>
    <x v="2"/>
    <x v="3"/>
  </r>
  <r>
    <x v="37"/>
    <x v="28"/>
    <n v="1224.0761"/>
    <x v="12"/>
    <x v="2"/>
  </r>
  <r>
    <x v="24"/>
    <x v="27"/>
    <n v="1224.6719000000001"/>
    <x v="11"/>
    <x v="2"/>
  </r>
  <r>
    <x v="9"/>
    <x v="22"/>
    <n v="1225"/>
    <x v="0"/>
    <x v="3"/>
  </r>
  <r>
    <x v="8"/>
    <x v="27"/>
    <n v="1225"/>
    <x v="11"/>
    <x v="2"/>
  </r>
  <r>
    <x v="32"/>
    <x v="25"/>
    <n v="1226.2971"/>
    <x v="2"/>
    <x v="3"/>
  </r>
  <r>
    <x v="24"/>
    <x v="25"/>
    <n v="1227.1513"/>
    <x v="2"/>
    <x v="3"/>
  </r>
  <r>
    <x v="1"/>
    <x v="28"/>
    <n v="1227.5"/>
    <x v="12"/>
    <x v="2"/>
  </r>
  <r>
    <x v="14"/>
    <x v="26"/>
    <n v="1227.5"/>
    <x v="8"/>
    <x v="2"/>
  </r>
  <r>
    <x v="22"/>
    <x v="27"/>
    <n v="1228.1875"/>
    <x v="11"/>
    <x v="2"/>
  </r>
  <r>
    <x v="3"/>
    <x v="28"/>
    <n v="1230.5640000000001"/>
    <x v="12"/>
    <x v="2"/>
  </r>
  <r>
    <x v="23"/>
    <x v="28"/>
    <n v="1232.8"/>
    <x v="12"/>
    <x v="2"/>
  </r>
  <r>
    <x v="23"/>
    <x v="26"/>
    <n v="1232.8"/>
    <x v="8"/>
    <x v="2"/>
  </r>
  <r>
    <x v="5"/>
    <x v="27"/>
    <n v="1234.5454999999999"/>
    <x v="11"/>
    <x v="2"/>
  </r>
  <r>
    <x v="37"/>
    <x v="26"/>
    <n v="1237.4783"/>
    <x v="8"/>
    <x v="2"/>
  </r>
  <r>
    <x v="6"/>
    <x v="24"/>
    <n v="1238.2125000000001"/>
    <x v="3"/>
    <x v="3"/>
  </r>
  <r>
    <x v="11"/>
    <x v="27"/>
    <n v="1238.7610999999999"/>
    <x v="11"/>
    <x v="2"/>
  </r>
  <r>
    <x v="31"/>
    <x v="25"/>
    <n v="1239.3271"/>
    <x v="2"/>
    <x v="3"/>
  </r>
  <r>
    <x v="11"/>
    <x v="25"/>
    <n v="1240.6882000000001"/>
    <x v="2"/>
    <x v="3"/>
  </r>
  <r>
    <x v="28"/>
    <x v="26"/>
    <n v="1243.9018000000001"/>
    <x v="8"/>
    <x v="2"/>
  </r>
  <r>
    <x v="36"/>
    <x v="28"/>
    <n v="1245.5555999999999"/>
    <x v="12"/>
    <x v="2"/>
  </r>
  <r>
    <x v="31"/>
    <x v="23"/>
    <n v="1245.8010999999999"/>
    <x v="4"/>
    <x v="3"/>
  </r>
  <r>
    <x v="15"/>
    <x v="28"/>
    <n v="1249.9792"/>
    <x v="12"/>
    <x v="2"/>
  </r>
  <r>
    <x v="13"/>
    <x v="26"/>
    <n v="1250"/>
    <x v="8"/>
    <x v="2"/>
  </r>
  <r>
    <x v="22"/>
    <x v="26"/>
    <n v="1255.5555999999999"/>
    <x v="8"/>
    <x v="2"/>
  </r>
  <r>
    <x v="28"/>
    <x v="28"/>
    <n v="1256.3614"/>
    <x v="12"/>
    <x v="2"/>
  </r>
  <r>
    <x v="28"/>
    <x v="25"/>
    <n v="1256.386"/>
    <x v="2"/>
    <x v="3"/>
  </r>
  <r>
    <x v="14"/>
    <x v="24"/>
    <n v="1256.6079999999999"/>
    <x v="3"/>
    <x v="3"/>
  </r>
  <r>
    <x v="12"/>
    <x v="28"/>
    <n v="1257.7778000000001"/>
    <x v="12"/>
    <x v="2"/>
  </r>
  <r>
    <x v="15"/>
    <x v="25"/>
    <n v="1258"/>
    <x v="2"/>
    <x v="3"/>
  </r>
  <r>
    <x v="16"/>
    <x v="26"/>
    <n v="1258.3333"/>
    <x v="8"/>
    <x v="2"/>
  </r>
  <r>
    <x v="31"/>
    <x v="22"/>
    <n v="1258.3445999999999"/>
    <x v="0"/>
    <x v="3"/>
  </r>
  <r>
    <x v="34"/>
    <x v="27"/>
    <n v="1258.4614999999999"/>
    <x v="11"/>
    <x v="2"/>
  </r>
  <r>
    <x v="1"/>
    <x v="27"/>
    <n v="1260"/>
    <x v="11"/>
    <x v="2"/>
  </r>
  <r>
    <x v="24"/>
    <x v="28"/>
    <n v="1260.6561999999999"/>
    <x v="12"/>
    <x v="2"/>
  </r>
  <r>
    <x v="31"/>
    <x v="24"/>
    <n v="1261.6458"/>
    <x v="3"/>
    <x v="3"/>
  </r>
  <r>
    <x v="12"/>
    <x v="25"/>
    <n v="1263.9821999999999"/>
    <x v="2"/>
    <x v="3"/>
  </r>
  <r>
    <x v="11"/>
    <x v="28"/>
    <n v="1270.75"/>
    <x v="12"/>
    <x v="2"/>
  </r>
  <r>
    <x v="24"/>
    <x v="23"/>
    <n v="1272"/>
    <x v="4"/>
    <x v="3"/>
  </r>
  <r>
    <x v="24"/>
    <x v="26"/>
    <n v="1278.125"/>
    <x v="8"/>
    <x v="2"/>
  </r>
  <r>
    <x v="36"/>
    <x v="27"/>
    <n v="1278.4666999999999"/>
    <x v="11"/>
    <x v="2"/>
  </r>
  <r>
    <x v="14"/>
    <x v="23"/>
    <n v="1280"/>
    <x v="4"/>
    <x v="3"/>
  </r>
  <r>
    <x v="30"/>
    <x v="27"/>
    <n v="1280.4136000000001"/>
    <x v="11"/>
    <x v="2"/>
  </r>
  <r>
    <x v="2"/>
    <x v="27"/>
    <n v="1282.3846000000001"/>
    <x v="11"/>
    <x v="2"/>
  </r>
  <r>
    <x v="25"/>
    <x v="27"/>
    <n v="1282.7143000000001"/>
    <x v="11"/>
    <x v="2"/>
  </r>
  <r>
    <x v="11"/>
    <x v="26"/>
    <n v="1283.125"/>
    <x v="8"/>
    <x v="2"/>
  </r>
  <r>
    <x v="14"/>
    <x v="25"/>
    <n v="1283.2363"/>
    <x v="2"/>
    <x v="3"/>
  </r>
  <r>
    <x v="27"/>
    <x v="25"/>
    <n v="1283.6949999999999"/>
    <x v="2"/>
    <x v="3"/>
  </r>
  <r>
    <x v="2"/>
    <x v="26"/>
    <n v="1283.7856999999999"/>
    <x v="8"/>
    <x v="2"/>
  </r>
  <r>
    <x v="6"/>
    <x v="23"/>
    <n v="1285.5413000000001"/>
    <x v="4"/>
    <x v="3"/>
  </r>
  <r>
    <x v="16"/>
    <x v="22"/>
    <n v="1287.5"/>
    <x v="0"/>
    <x v="3"/>
  </r>
  <r>
    <x v="30"/>
    <x v="28"/>
    <n v="1287.5714"/>
    <x v="12"/>
    <x v="2"/>
  </r>
  <r>
    <x v="34"/>
    <x v="26"/>
    <n v="1288.1818000000001"/>
    <x v="8"/>
    <x v="2"/>
  </r>
  <r>
    <x v="30"/>
    <x v="26"/>
    <n v="1292.8570999999999"/>
    <x v="8"/>
    <x v="2"/>
  </r>
  <r>
    <x v="6"/>
    <x v="25"/>
    <n v="1293.8996"/>
    <x v="2"/>
    <x v="3"/>
  </r>
  <r>
    <x v="15"/>
    <x v="24"/>
    <n v="1298.9393"/>
    <x v="3"/>
    <x v="3"/>
  </r>
  <r>
    <x v="10"/>
    <x v="27"/>
    <n v="1301.3333"/>
    <x v="11"/>
    <x v="2"/>
  </r>
  <r>
    <x v="22"/>
    <x v="25"/>
    <n v="1301.6875"/>
    <x v="2"/>
    <x v="3"/>
  </r>
  <r>
    <x v="6"/>
    <x v="22"/>
    <n v="1302.2578000000001"/>
    <x v="0"/>
    <x v="3"/>
  </r>
  <r>
    <x v="1"/>
    <x v="25"/>
    <n v="1302.5237999999999"/>
    <x v="2"/>
    <x v="3"/>
  </r>
  <r>
    <x v="24"/>
    <x v="24"/>
    <n v="1305"/>
    <x v="3"/>
    <x v="3"/>
  </r>
  <r>
    <x v="28"/>
    <x v="27"/>
    <n v="1307.0499"/>
    <x v="11"/>
    <x v="2"/>
  </r>
  <r>
    <x v="24"/>
    <x v="22"/>
    <n v="1308.2605000000001"/>
    <x v="0"/>
    <x v="3"/>
  </r>
  <r>
    <x v="34"/>
    <x v="28"/>
    <n v="1308.5714"/>
    <x v="12"/>
    <x v="2"/>
  </r>
  <r>
    <x v="12"/>
    <x v="22"/>
    <n v="1308.8888999999999"/>
    <x v="0"/>
    <x v="3"/>
  </r>
  <r>
    <x v="7"/>
    <x v="24"/>
    <n v="1309"/>
    <x v="3"/>
    <x v="3"/>
  </r>
  <r>
    <x v="7"/>
    <x v="25"/>
    <n v="1309.54"/>
    <x v="2"/>
    <x v="3"/>
  </r>
  <r>
    <x v="10"/>
    <x v="28"/>
    <n v="1319.8471999999999"/>
    <x v="12"/>
    <x v="2"/>
  </r>
  <r>
    <x v="0"/>
    <x v="22"/>
    <n v="1330"/>
    <x v="0"/>
    <x v="3"/>
  </r>
  <r>
    <x v="2"/>
    <x v="28"/>
    <n v="1331.9444000000001"/>
    <x v="12"/>
    <x v="2"/>
  </r>
  <r>
    <x v="5"/>
    <x v="25"/>
    <n v="1341.3434"/>
    <x v="2"/>
    <x v="3"/>
  </r>
  <r>
    <x v="10"/>
    <x v="22"/>
    <n v="1350"/>
    <x v="0"/>
    <x v="3"/>
  </r>
  <r>
    <x v="28"/>
    <x v="24"/>
    <n v="1353.9532999999999"/>
    <x v="3"/>
    <x v="3"/>
  </r>
  <r>
    <x v="25"/>
    <x v="22"/>
    <n v="1364.2856999999999"/>
    <x v="0"/>
    <x v="3"/>
  </r>
  <r>
    <x v="5"/>
    <x v="28"/>
    <n v="1365.1629"/>
    <x v="12"/>
    <x v="2"/>
  </r>
  <r>
    <x v="28"/>
    <x v="23"/>
    <n v="1366.6667"/>
    <x v="4"/>
    <x v="3"/>
  </r>
  <r>
    <x v="10"/>
    <x v="25"/>
    <n v="1370"/>
    <x v="2"/>
    <x v="3"/>
  </r>
  <r>
    <x v="7"/>
    <x v="23"/>
    <n v="1386.6862000000001"/>
    <x v="4"/>
    <x v="3"/>
  </r>
  <r>
    <x v="7"/>
    <x v="22"/>
    <n v="1386.6862000000001"/>
    <x v="0"/>
    <x v="3"/>
  </r>
  <r>
    <x v="4"/>
    <x v="25"/>
    <n v="1395.0444"/>
    <x v="2"/>
    <x v="3"/>
  </r>
  <r>
    <x v="10"/>
    <x v="24"/>
    <n v="1400"/>
    <x v="3"/>
    <x v="3"/>
  </r>
  <r>
    <x v="10"/>
    <x v="23"/>
    <n v="1400"/>
    <x v="4"/>
    <x v="3"/>
  </r>
  <r>
    <x v="5"/>
    <x v="22"/>
    <n v="1411.1111000000001"/>
    <x v="0"/>
    <x v="3"/>
  </r>
  <r>
    <x v="36"/>
    <x v="22"/>
    <n v="1433.3333"/>
    <x v="0"/>
    <x v="3"/>
  </r>
  <r>
    <x v="28"/>
    <x v="22"/>
    <n v="1433.3333"/>
    <x v="0"/>
    <x v="3"/>
  </r>
  <r>
    <x v="33"/>
    <x v="23"/>
    <n v="1436.1111000000001"/>
    <x v="4"/>
    <x v="3"/>
  </r>
  <r>
    <x v="1"/>
    <x v="23"/>
    <n v="1446.9921999999999"/>
    <x v="4"/>
    <x v="3"/>
  </r>
  <r>
    <x v="1"/>
    <x v="22"/>
    <n v="1446.9921999999999"/>
    <x v="0"/>
    <x v="3"/>
  </r>
  <r>
    <x v="5"/>
    <x v="23"/>
    <n v="1450"/>
    <x v="4"/>
    <x v="3"/>
  </r>
  <r>
    <x v="1"/>
    <x v="24"/>
    <n v="1450.7982"/>
    <x v="3"/>
    <x v="3"/>
  </r>
  <r>
    <x v="5"/>
    <x v="24"/>
    <n v="1451.6932999999999"/>
    <x v="3"/>
    <x v="3"/>
  </r>
  <r>
    <x v="37"/>
    <x v="22"/>
    <n v="1466.6667"/>
    <x v="0"/>
    <x v="3"/>
  </r>
  <r>
    <x v="33"/>
    <x v="22"/>
    <n v="1469.4444000000001"/>
    <x v="0"/>
    <x v="3"/>
  </r>
  <r>
    <x v="33"/>
    <x v="24"/>
    <n v="1474.4213999999999"/>
    <x v="3"/>
    <x v="3"/>
  </r>
  <r>
    <x v="22"/>
    <x v="23"/>
    <n v="1477.7778000000001"/>
    <x v="4"/>
    <x v="3"/>
  </r>
  <r>
    <x v="22"/>
    <x v="22"/>
    <n v="1483.3333"/>
    <x v="0"/>
    <x v="3"/>
  </r>
  <r>
    <x v="36"/>
    <x v="24"/>
    <n v="1500"/>
    <x v="3"/>
    <x v="3"/>
  </r>
  <r>
    <x v="36"/>
    <x v="23"/>
    <n v="1500"/>
    <x v="4"/>
    <x v="3"/>
  </r>
  <r>
    <x v="37"/>
    <x v="23"/>
    <n v="1500"/>
    <x v="4"/>
    <x v="3"/>
  </r>
  <r>
    <x v="37"/>
    <x v="24"/>
    <n v="1524.15"/>
    <x v="3"/>
    <x v="3"/>
  </r>
  <r>
    <x v="34"/>
    <x v="22"/>
    <n v="1530"/>
    <x v="0"/>
    <x v="3"/>
  </r>
  <r>
    <x v="27"/>
    <x v="24"/>
    <n v="1530.5587"/>
    <x v="3"/>
    <x v="3"/>
  </r>
  <r>
    <x v="36"/>
    <x v="25"/>
    <n v="1533.4083000000001"/>
    <x v="2"/>
    <x v="3"/>
  </r>
  <r>
    <x v="27"/>
    <x v="22"/>
    <n v="1541.6667"/>
    <x v="0"/>
    <x v="3"/>
  </r>
  <r>
    <x v="0"/>
    <x v="25"/>
    <n v="1550"/>
    <x v="2"/>
    <x v="3"/>
  </r>
  <r>
    <x v="0"/>
    <x v="24"/>
    <n v="1550"/>
    <x v="3"/>
    <x v="3"/>
  </r>
  <r>
    <x v="22"/>
    <x v="24"/>
    <n v="1563.8639000000001"/>
    <x v="3"/>
    <x v="3"/>
  </r>
  <r>
    <x v="34"/>
    <x v="25"/>
    <n v="1567.8425999999999"/>
    <x v="2"/>
    <x v="3"/>
  </r>
  <r>
    <x v="27"/>
    <x v="23"/>
    <n v="1587.5"/>
    <x v="4"/>
    <x v="3"/>
  </r>
  <r>
    <x v="37"/>
    <x v="25"/>
    <n v="1588.4985999999999"/>
    <x v="2"/>
    <x v="3"/>
  </r>
  <r>
    <x v="4"/>
    <x v="22"/>
    <n v="1638.3333"/>
    <x v="0"/>
    <x v="3"/>
  </r>
  <r>
    <x v="4"/>
    <x v="24"/>
    <n v="1650"/>
    <x v="3"/>
    <x v="3"/>
  </r>
  <r>
    <x v="4"/>
    <x v="23"/>
    <n v="1660"/>
    <x v="4"/>
    <x v="3"/>
  </r>
  <r>
    <x v="0"/>
    <x v="23"/>
    <n v="1680"/>
    <x v="4"/>
    <x v="3"/>
  </r>
  <r>
    <x v="34"/>
    <x v="24"/>
    <n v="1700"/>
    <x v="3"/>
    <x v="3"/>
  </r>
  <r>
    <x v="34"/>
    <x v="23"/>
    <n v="1730"/>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7806A8-0127-4ECC-8827-0C14330844D1}" name="Average Price Trend"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chartFormat="20">
  <location ref="F23:G27" firstHeaderRow="1" firstDataRow="1" firstDataCol="1"/>
  <pivotFields count="7">
    <pivotField showAll="0" measureFilter="1">
      <items count="39">
        <item x="24"/>
        <item x="3"/>
        <item x="10"/>
        <item x="16"/>
        <item x="11"/>
        <item h="1" sd="0" x="31"/>
        <item x="9"/>
        <item sd="0" x="13"/>
        <item x="5"/>
        <item sd="0" x="2"/>
        <item x="22"/>
        <item x="25"/>
        <item x="30"/>
        <item x="14"/>
        <item x="32"/>
        <item x="36"/>
        <item x="23"/>
        <item x="37"/>
        <item x="34"/>
        <item x="4"/>
        <item x="27"/>
        <item x="33"/>
        <item x="35"/>
        <item sd="0" x="15"/>
        <item x="17"/>
        <item x="19"/>
        <item x="6"/>
        <item x="7"/>
        <item x="18"/>
        <item x="29"/>
        <item sd="0" x="26"/>
        <item sd="0" x="20"/>
        <item x="1"/>
        <item x="12"/>
        <item x="0"/>
        <item x="28"/>
        <item x="8"/>
        <item x="21"/>
        <item t="default"/>
      </items>
    </pivotField>
    <pivotField axis="axisRow" showAll="0">
      <items count="15">
        <item h="1" x="0"/>
        <item x="1"/>
        <item x="2"/>
        <item x="3"/>
        <item x="4"/>
        <item x="5"/>
        <item x="6"/>
        <item x="7"/>
        <item x="8"/>
        <item x="9"/>
        <item x="10"/>
        <item x="11"/>
        <item x="12"/>
        <item h="1" x="13"/>
        <item t="default"/>
      </items>
    </pivotField>
    <pivotField dataField="1" numFmtId="164" showAll="0"/>
    <pivotField multipleItemSelectionAllowed="1" showAll="0">
      <items count="14">
        <item x="0"/>
        <item h="1" x="4"/>
        <item h="1" x="3"/>
        <item h="1" x="2"/>
        <item h="1" x="1"/>
        <item h="1" x="7"/>
        <item h="1" x="6"/>
        <item h="1" x="9"/>
        <item h="1" x="10"/>
        <item h="1" x="8"/>
        <item h="1" x="12"/>
        <item h="1" x="11"/>
        <item h="1" x="5"/>
        <item t="default"/>
      </items>
    </pivotField>
    <pivotField multipleItemSelectionAllowed="1" showAll="0">
      <items count="5">
        <item h="1" x="0"/>
        <item h="1" x="2"/>
        <item x="3"/>
        <item h="1" x="1"/>
        <item t="default"/>
      </items>
    </pivotField>
    <pivotField showAll="0">
      <items count="7">
        <item sd="0" x="0"/>
        <item sd="0" x="1"/>
        <item sd="0" x="2"/>
        <item sd="0" x="3"/>
        <item sd="0" x="4"/>
        <item sd="0" x="5"/>
        <item t="default"/>
      </items>
    </pivotField>
    <pivotField multipleItemSelectionAllowed="1" showAll="0">
      <items count="6">
        <item h="1" sd="0" x="0"/>
        <item h="1" sd="0" x="1"/>
        <item h="1" sd="0" x="2"/>
        <item sd="0" x="3"/>
        <item h="1" sd="0" x="4"/>
        <item t="default"/>
      </items>
    </pivotField>
  </pivotFields>
  <rowFields count="1">
    <field x="1"/>
  </rowFields>
  <rowItems count="4">
    <i>
      <x v="1"/>
    </i>
    <i>
      <x v="2"/>
    </i>
    <i>
      <x v="3"/>
    </i>
    <i>
      <x v="4"/>
    </i>
  </rowItems>
  <colItems count="1">
    <i/>
  </colItems>
  <dataFields count="1">
    <dataField name="Average of PRICE" fld="2" subtotal="average" baseField="0" baseItem="0" numFmtId="165"/>
  </dataFields>
  <formats count="1">
    <format dxfId="59">
      <pivotArea outline="0" collapsedLevelsAreSubtotals="1" fieldPosition="0"/>
    </format>
  </formats>
  <chartFormats count="2">
    <chartFormat chart="13" format="3"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C22CEE-3273-490A-A8FE-6F1A09D80B95}" name="PivotTable1(Map&amp;Cards)"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location ref="A4:B41" firstHeaderRow="1" firstDataRow="1" firstDataCol="1" rowPageCount="2" colPageCount="1"/>
  <pivotFields count="7">
    <pivotField axis="axisRow" showAll="0">
      <items count="39">
        <item x="24"/>
        <item x="3"/>
        <item x="10"/>
        <item x="16"/>
        <item x="11"/>
        <item h="1" x="31"/>
        <item x="9"/>
        <item x="13"/>
        <item x="5"/>
        <item x="2"/>
        <item x="22"/>
        <item x="25"/>
        <item x="30"/>
        <item x="14"/>
        <item x="32"/>
        <item x="36"/>
        <item x="23"/>
        <item x="37"/>
        <item x="34"/>
        <item x="4"/>
        <item x="27"/>
        <item x="33"/>
        <item x="35"/>
        <item x="15"/>
        <item x="17"/>
        <item x="19"/>
        <item x="6"/>
        <item x="7"/>
        <item x="18"/>
        <item x="29"/>
        <item x="26"/>
        <item x="20"/>
        <item x="1"/>
        <item x="12"/>
        <item x="0"/>
        <item x="28"/>
        <item x="8"/>
        <item x="21"/>
        <item t="default"/>
      </items>
    </pivotField>
    <pivotField showAll="0">
      <items count="15">
        <item x="0"/>
        <item x="1"/>
        <item x="2"/>
        <item x="3"/>
        <item x="4"/>
        <item x="5"/>
        <item x="6"/>
        <item x="7"/>
        <item x="8"/>
        <item x="9"/>
        <item x="10"/>
        <item x="11"/>
        <item x="12"/>
        <item x="13"/>
        <item t="default"/>
      </items>
    </pivotField>
    <pivotField dataField="1" numFmtId="164" showAll="0"/>
    <pivotField axis="axisPage" multipleItemSelectionAllowed="1" showAll="0">
      <items count="14">
        <item h="1" x="0"/>
        <item x="4"/>
        <item h="1" x="3"/>
        <item h="1" x="2"/>
        <item h="1" x="1"/>
        <item h="1" x="7"/>
        <item h="1" x="6"/>
        <item h="1" x="9"/>
        <item h="1" x="10"/>
        <item h="1" x="8"/>
        <item h="1" x="12"/>
        <item h="1" x="11"/>
        <item h="1" x="5"/>
        <item t="default"/>
      </items>
    </pivotField>
    <pivotField axis="axisPage" multipleItemSelectionAllowed="1" showAll="0">
      <items count="5">
        <item h="1" x="0"/>
        <item h="1" x="2"/>
        <item x="3"/>
        <item h="1" x="1"/>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37">
    <i>
      <x/>
    </i>
    <i>
      <x v="1"/>
    </i>
    <i>
      <x v="2"/>
    </i>
    <i>
      <x v="3"/>
    </i>
    <i>
      <x v="4"/>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rowItems>
  <colItems count="1">
    <i/>
  </colItems>
  <pageFields count="2">
    <pageField fld="4" hier="-1"/>
    <pageField fld="3" hier="-1"/>
  </pageFields>
  <dataFields count="1">
    <dataField name="Sum of PRICE" fld="2" baseField="0" baseItem="0" numFmtId="165"/>
  </dataFields>
  <formats count="1">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3D57AD-FF60-4F8A-AF2F-F9BEBDC784E2}" name="States with the highest volatitily%"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chartFormat="1">
  <location ref="M24:N24" firstHeaderRow="1" firstDataRow="1" firstDataCol="1" rowPageCount="2" colPageCount="1"/>
  <pivotFields count="7">
    <pivotField axis="axisRow" showAll="0" measureFilter="1">
      <items count="39">
        <item h="1" x="24"/>
        <item h="1" x="3"/>
        <item h="1" x="10"/>
        <item h="1" x="16"/>
        <item h="1" x="11"/>
        <item h="1" x="31"/>
        <item h="1" x="9"/>
        <item h="1" x="13"/>
        <item h="1" x="5"/>
        <item h="1" x="2"/>
        <item x="22"/>
        <item h="1" x="25"/>
        <item h="1" x="30"/>
        <item h="1" x="14"/>
        <item h="1" x="32"/>
        <item h="1" sd="0" x="36"/>
        <item h="1" x="23"/>
        <item h="1" sd="0" x="37"/>
        <item x="19"/>
        <item sd="0" x="34"/>
        <item h="1" sd="0" x="4"/>
        <item h="1" sd="0" x="27"/>
        <item h="1" x="33"/>
        <item h="1" x="35"/>
        <item h="1" x="15"/>
        <item h="1" x="17"/>
        <item h="1" x="6"/>
        <item h="1" x="7"/>
        <item h="1" x="18"/>
        <item h="1" x="29"/>
        <item h="1" x="26"/>
        <item h="1" x="20"/>
        <item h="1" x="1"/>
        <item h="1" x="12"/>
        <item x="0"/>
        <item h="1" x="28"/>
        <item h="1" x="8"/>
        <item h="1" x="21"/>
        <item t="default"/>
      </items>
    </pivotField>
    <pivotField showAll="0">
      <items count="15">
        <item x="0"/>
        <item x="1"/>
        <item x="2"/>
        <item x="3"/>
        <item x="4"/>
        <item x="5"/>
        <item x="6"/>
        <item x="7"/>
        <item x="8"/>
        <item x="9"/>
        <item x="10"/>
        <item x="11"/>
        <item x="12"/>
        <item x="13"/>
        <item t="default"/>
      </items>
    </pivotField>
    <pivotField dataField="1" numFmtId="164" showAll="0"/>
    <pivotField axis="axisPage" multipleItemSelectionAllowed="1" showAll="0" defaultSubtotal="0">
      <items count="13">
        <item h="1" x="0"/>
        <item h="1" x="4"/>
        <item x="3"/>
        <item h="1" x="2"/>
        <item h="1" x="1"/>
        <item h="1" x="7"/>
        <item h="1" x="6"/>
        <item h="1" x="9"/>
        <item h="1" x="10"/>
        <item h="1" x="8"/>
        <item h="1" x="12"/>
        <item h="1" x="11"/>
        <item h="1" x="5"/>
      </items>
    </pivotField>
    <pivotField multipleItemSelectionAllowed="1" showAll="0">
      <items count="5">
        <item h="1" x="0"/>
        <item h="1" x="2"/>
        <item x="3"/>
        <item h="1" x="1"/>
        <item t="default"/>
      </items>
    </pivotField>
    <pivotField showAll="0">
      <items count="7">
        <item sd="0" x="0"/>
        <item sd="0" x="1"/>
        <item sd="0" x="2"/>
        <item sd="0" x="3"/>
        <item sd="0" x="4"/>
        <item sd="0" x="5"/>
        <item t="default"/>
      </items>
    </pivotField>
    <pivotField axis="axisPage" multipleItemSelectionAllowed="1" showAll="0">
      <items count="6">
        <item h="1" sd="0" x="0"/>
        <item sd="0" x="1"/>
        <item h="1" sd="0" x="2"/>
        <item h="1" sd="0" x="3"/>
        <item h="1" sd="0" x="4"/>
        <item t="default"/>
      </items>
    </pivotField>
  </pivotFields>
  <rowFields count="1">
    <field x="0"/>
  </rowFields>
  <colItems count="1">
    <i/>
  </colItems>
  <pageFields count="2">
    <pageField fld="6" hier="-1"/>
    <pageField fld="3" hier="-1"/>
  </pageFields>
  <dataFields count="1">
    <dataField name="Sum of PRICE" fld="2" baseField="0" baseItem="0" numFmtId="165"/>
  </dataFields>
  <formats count="1">
    <format dxfId="61">
      <pivotArea outline="0" collapsedLevelsAreSubtotals="1" fieldPosition="0"/>
    </format>
  </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E05976-FF8F-4C31-8F1D-C5BB28C4BC83}" name="Top 5 Higest States"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chartFormat="3">
  <location ref="F4:G9" firstHeaderRow="1" firstDataRow="1" firstDataCol="1" rowPageCount="2" colPageCount="1"/>
  <pivotFields count="7">
    <pivotField axis="axisRow" showAll="0" measureFilter="1">
      <items count="39">
        <item x="24"/>
        <item x="3"/>
        <item x="10"/>
        <item x="16"/>
        <item x="11"/>
        <item x="31"/>
        <item x="9"/>
        <item x="13"/>
        <item x="5"/>
        <item x="2"/>
        <item sd="0" x="22"/>
        <item x="25"/>
        <item x="30"/>
        <item x="14"/>
        <item x="32"/>
        <item sd="0" x="36"/>
        <item x="23"/>
        <item sd="0" x="37"/>
        <item sd="0" x="34"/>
        <item sd="0" x="4"/>
        <item sd="0" x="27"/>
        <item x="33"/>
        <item x="35"/>
        <item x="15"/>
        <item x="17"/>
        <item x="19"/>
        <item x="6"/>
        <item x="7"/>
        <item x="18"/>
        <item x="29"/>
        <item x="26"/>
        <item x="20"/>
        <item x="1"/>
        <item x="12"/>
        <item x="0"/>
        <item x="28"/>
        <item x="8"/>
        <item x="21"/>
        <item t="default"/>
      </items>
    </pivotField>
    <pivotField showAll="0">
      <items count="15">
        <item x="0"/>
        <item x="1"/>
        <item x="2"/>
        <item x="3"/>
        <item x="4"/>
        <item x="5"/>
        <item x="6"/>
        <item x="7"/>
        <item x="8"/>
        <item x="9"/>
        <item x="10"/>
        <item x="11"/>
        <item x="12"/>
        <item x="13"/>
        <item t="default"/>
      </items>
    </pivotField>
    <pivotField dataField="1" numFmtId="164" showAll="0"/>
    <pivotField axis="axisPage" multipleItemSelectionAllowed="1" showAll="0" defaultSubtotal="0">
      <items count="13">
        <item x="0"/>
        <item h="1" x="4"/>
        <item h="1" x="3"/>
        <item h="1" x="2"/>
        <item h="1" x="1"/>
        <item h="1" x="7"/>
        <item h="1" x="6"/>
        <item h="1" x="9"/>
        <item h="1" x="10"/>
        <item h="1" x="8"/>
        <item h="1" x="12"/>
        <item h="1" x="11"/>
        <item h="1" x="5"/>
      </items>
    </pivotField>
    <pivotField multipleItemSelectionAllowed="1" showAll="0">
      <items count="5">
        <item h="1" x="0"/>
        <item h="1" x="2"/>
        <item x="3"/>
        <item h="1" x="1"/>
        <item t="default"/>
      </items>
    </pivotField>
    <pivotField showAll="0">
      <items count="7">
        <item sd="0" x="0"/>
        <item sd="0" x="1"/>
        <item sd="0" x="2"/>
        <item sd="0" x="3"/>
        <item sd="0" x="4"/>
        <item sd="0" x="5"/>
        <item t="default"/>
      </items>
    </pivotField>
    <pivotField axis="axisPage" multipleItemSelectionAllowed="1" showAll="0">
      <items count="6">
        <item h="1" sd="0" x="0"/>
        <item h="1" sd="0" x="1"/>
        <item h="1" sd="0" x="2"/>
        <item sd="0" x="3"/>
        <item h="1" sd="0" x="4"/>
        <item t="default"/>
      </items>
    </pivotField>
  </pivotFields>
  <rowFields count="1">
    <field x="0"/>
  </rowFields>
  <rowItems count="5">
    <i>
      <x v="10"/>
    </i>
    <i>
      <x v="18"/>
    </i>
    <i>
      <x v="19"/>
    </i>
    <i>
      <x v="20"/>
    </i>
    <i>
      <x v="21"/>
    </i>
  </rowItems>
  <colItems count="1">
    <i/>
  </colItems>
  <pageFields count="2">
    <pageField fld="3" hier="-1"/>
    <pageField fld="6" hier="-1"/>
  </pageFields>
  <dataFields count="1">
    <dataField name="Sum of PRICE" fld="2" baseField="0" baseItem="0" numFmtId="165"/>
  </dataFields>
  <formats count="1">
    <format dxfId="62">
      <pivotArea outline="0" collapsedLevelsAreSubtotals="1" fieldPosition="0"/>
    </format>
  </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9A1606-4375-4D0A-8999-D2942A493268}"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chartFormat="1">
  <location ref="O24:P28" firstHeaderRow="1" firstDataRow="1" firstDataCol="1" rowPageCount="2" colPageCount="1"/>
  <pivotFields count="7">
    <pivotField axis="axisRow" showAll="0" measureFilter="1">
      <items count="39">
        <item h="1" x="24"/>
        <item h="1" x="3"/>
        <item h="1" x="10"/>
        <item h="1" x="16"/>
        <item h="1" x="11"/>
        <item h="1" x="31"/>
        <item h="1" x="9"/>
        <item h="1" x="13"/>
        <item h="1" x="5"/>
        <item h="1" x="2"/>
        <item x="22"/>
        <item h="1" x="25"/>
        <item h="1" x="30"/>
        <item h="1" x="14"/>
        <item h="1" x="32"/>
        <item h="1" sd="0" x="36"/>
        <item h="1" x="23"/>
        <item h="1" sd="0" x="37"/>
        <item x="19"/>
        <item sd="0" x="34"/>
        <item h="1" sd="0" x="4"/>
        <item h="1" sd="0" x="27"/>
        <item h="1" x="33"/>
        <item h="1" x="35"/>
        <item h="1" x="15"/>
        <item h="1" x="17"/>
        <item h="1" x="6"/>
        <item h="1" x="7"/>
        <item h="1" x="18"/>
        <item h="1" x="29"/>
        <item h="1" x="26"/>
        <item h="1" x="20"/>
        <item h="1" x="1"/>
        <item h="1" x="12"/>
        <item x="0"/>
        <item h="1" x="28"/>
        <item h="1" x="8"/>
        <item h="1" x="21"/>
        <item t="default"/>
      </items>
    </pivotField>
    <pivotField showAll="0">
      <items count="15">
        <item x="0"/>
        <item x="1"/>
        <item x="2"/>
        <item x="3"/>
        <item x="4"/>
        <item x="5"/>
        <item x="6"/>
        <item x="7"/>
        <item x="8"/>
        <item x="9"/>
        <item x="10"/>
        <item x="11"/>
        <item x="12"/>
        <item x="13"/>
        <item t="default"/>
      </items>
    </pivotField>
    <pivotField dataField="1" numFmtId="164" showAll="0"/>
    <pivotField axis="axisPage" multipleItemSelectionAllowed="1" showAll="0" defaultSubtotal="0">
      <items count="13">
        <item h="1" x="0"/>
        <item h="1" x="4"/>
        <item h="1" x="3"/>
        <item x="2"/>
        <item h="1" x="1"/>
        <item h="1" x="7"/>
        <item h="1" x="6"/>
        <item h="1" x="9"/>
        <item h="1" x="10"/>
        <item h="1" x="8"/>
        <item h="1" x="12"/>
        <item h="1" x="11"/>
        <item h="1" x="5"/>
      </items>
    </pivotField>
    <pivotField multipleItemSelectionAllowed="1" showAll="0">
      <items count="5">
        <item h="1" x="0"/>
        <item h="1" x="2"/>
        <item x="3"/>
        <item h="1" x="1"/>
        <item t="default"/>
      </items>
    </pivotField>
    <pivotField showAll="0">
      <items count="7">
        <item sd="0" x="0"/>
        <item sd="0" x="1"/>
        <item sd="0" x="2"/>
        <item sd="0" x="3"/>
        <item sd="0" x="4"/>
        <item sd="0" x="5"/>
        <item t="default"/>
      </items>
    </pivotField>
    <pivotField axis="axisPage" multipleItemSelectionAllowed="1" showAll="0">
      <items count="6">
        <item h="1" sd="0" x="0"/>
        <item h="1" sd="0" x="1"/>
        <item h="1" sd="0" x="2"/>
        <item sd="0" x="3"/>
        <item h="1" sd="0" x="4"/>
        <item t="default"/>
      </items>
    </pivotField>
  </pivotFields>
  <rowFields count="1">
    <field x="0"/>
  </rowFields>
  <rowItems count="4">
    <i>
      <x v="10"/>
    </i>
    <i>
      <x v="18"/>
    </i>
    <i>
      <x v="19"/>
    </i>
    <i>
      <x v="34"/>
    </i>
  </rowItems>
  <colItems count="1">
    <i/>
  </colItems>
  <pageFields count="2">
    <pageField fld="6" hier="-1"/>
    <pageField fld="3" hier="-1"/>
  </pageFields>
  <dataFields count="1">
    <dataField name="Sum of PRICE" fld="2" baseField="0" baseItem="0" numFmtId="165"/>
  </dataFields>
  <formats count="1">
    <format dxfId="63">
      <pivotArea outline="0" collapsedLevelsAreSubtotals="1" fieldPosition="0"/>
    </format>
  </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A0149A-F4F2-4928-AD14-13C368A0FB9A}" name="top 5 Lowest States"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chartFormat="14">
  <location ref="L4:M9" firstHeaderRow="1" firstDataRow="1" firstDataCol="1" rowPageCount="2" colPageCount="1"/>
  <pivotFields count="7">
    <pivotField axis="axisRow" showAll="0" measureFilter="1">
      <items count="39">
        <item x="24"/>
        <item x="3"/>
        <item x="10"/>
        <item x="16"/>
        <item x="11"/>
        <item h="1" sd="0" x="31"/>
        <item x="9"/>
        <item sd="0" x="13"/>
        <item x="5"/>
        <item sd="0" x="2"/>
        <item x="22"/>
        <item x="25"/>
        <item x="30"/>
        <item x="14"/>
        <item x="32"/>
        <item x="36"/>
        <item x="23"/>
        <item x="37"/>
        <item x="34"/>
        <item x="4"/>
        <item x="27"/>
        <item x="33"/>
        <item x="35"/>
        <item sd="0" x="15"/>
        <item x="17"/>
        <item x="19"/>
        <item x="6"/>
        <item x="7"/>
        <item x="18"/>
        <item x="29"/>
        <item sd="0" x="26"/>
        <item sd="0" x="20"/>
        <item x="1"/>
        <item x="12"/>
        <item x="0"/>
        <item x="28"/>
        <item x="8"/>
        <item x="21"/>
        <item t="default"/>
      </items>
    </pivotField>
    <pivotField showAll="0">
      <items count="15">
        <item x="0"/>
        <item x="1"/>
        <item x="2"/>
        <item x="3"/>
        <item x="4"/>
        <item x="5"/>
        <item x="6"/>
        <item x="7"/>
        <item x="8"/>
        <item x="9"/>
        <item x="10"/>
        <item x="11"/>
        <item x="12"/>
        <item x="13"/>
        <item t="default"/>
      </items>
    </pivotField>
    <pivotField dataField="1" numFmtId="164" showAll="0"/>
    <pivotField axis="axisPage" multipleItemSelectionAllowed="1" showAll="0">
      <items count="14">
        <item x="0"/>
        <item h="1" x="4"/>
        <item h="1" x="3"/>
        <item h="1" x="2"/>
        <item h="1" x="1"/>
        <item h="1" x="7"/>
        <item h="1" x="6"/>
        <item h="1" x="9"/>
        <item h="1" x="10"/>
        <item h="1" x="8"/>
        <item h="1" x="12"/>
        <item h="1" x="11"/>
        <item h="1" x="5"/>
        <item t="default"/>
      </items>
    </pivotField>
    <pivotField multipleItemSelectionAllowed="1" showAll="0">
      <items count="5">
        <item h="1" x="0"/>
        <item h="1" x="2"/>
        <item x="3"/>
        <item h="1" x="1"/>
        <item t="default"/>
      </items>
    </pivotField>
    <pivotField showAll="0">
      <items count="7">
        <item sd="0" x="0"/>
        <item sd="0" x="1"/>
        <item sd="0" x="2"/>
        <item sd="0" x="3"/>
        <item sd="0" x="4"/>
        <item sd="0" x="5"/>
        <item t="default"/>
      </items>
    </pivotField>
    <pivotField axis="axisPage" multipleItemSelectionAllowed="1" showAll="0">
      <items count="6">
        <item h="1" sd="0" x="0"/>
        <item h="1" sd="0" x="1"/>
        <item h="1" sd="0" x="2"/>
        <item sd="0" x="3"/>
        <item h="1" sd="0" x="4"/>
        <item t="default"/>
      </items>
    </pivotField>
  </pivotFields>
  <rowFields count="1">
    <field x="0"/>
  </rowFields>
  <rowItems count="5">
    <i>
      <x v="4"/>
    </i>
    <i>
      <x v="7"/>
    </i>
    <i>
      <x v="9"/>
    </i>
    <i>
      <x v="30"/>
    </i>
    <i>
      <x v="31"/>
    </i>
  </rowItems>
  <colItems count="1">
    <i/>
  </colItems>
  <pageFields count="2">
    <pageField fld="3" hier="-1"/>
    <pageField fld="6" hier="-1"/>
  </pageFields>
  <dataFields count="1">
    <dataField name="Sum of PRICE" fld="2" baseField="0" baseItem="0" numFmtId="165"/>
  </dataFields>
  <formats count="1">
    <format dxfId="12">
      <pivotArea outline="0" collapsedLevelsAreSubtotals="1" fieldPosition="0"/>
    </format>
  </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6AA036-D4C0-449C-B8C5-435868F4C298}" name="PivotTable18"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chartFormat="18">
  <location ref="L31:M68" firstHeaderRow="1" firstDataRow="1" firstDataCol="1"/>
  <pivotFields count="7">
    <pivotField axis="axisRow" showAll="0">
      <items count="39">
        <item x="24"/>
        <item x="3"/>
        <item x="10"/>
        <item x="16"/>
        <item x="11"/>
        <item h="1" sd="0" x="31"/>
        <item x="9"/>
        <item sd="0" x="13"/>
        <item x="5"/>
        <item sd="0" x="2"/>
        <item x="22"/>
        <item x="25"/>
        <item x="30"/>
        <item x="14"/>
        <item x="32"/>
        <item x="36"/>
        <item x="23"/>
        <item x="37"/>
        <item x="34"/>
        <item x="4"/>
        <item x="27"/>
        <item x="33"/>
        <item x="35"/>
        <item sd="0" x="15"/>
        <item x="17"/>
        <item x="19"/>
        <item x="6"/>
        <item x="7"/>
        <item x="18"/>
        <item x="29"/>
        <item sd="0" x="26"/>
        <item sd="0" x="20"/>
        <item x="1"/>
        <item x="12"/>
        <item x="0"/>
        <item x="28"/>
        <item x="8"/>
        <item x="21"/>
        <item t="default"/>
      </items>
    </pivotField>
    <pivotField showAll="0">
      <items count="15">
        <item h="1" x="0"/>
        <item x="1"/>
        <item x="2"/>
        <item x="3"/>
        <item x="4"/>
        <item x="5"/>
        <item x="6"/>
        <item x="7"/>
        <item x="8"/>
        <item x="9"/>
        <item x="10"/>
        <item x="11"/>
        <item x="12"/>
        <item h="1" x="13"/>
        <item t="default"/>
      </items>
    </pivotField>
    <pivotField dataField="1" numFmtId="164" showAll="0"/>
    <pivotField multipleItemSelectionAllowed="1" showAll="0">
      <items count="14">
        <item x="0"/>
        <item h="1" x="4"/>
        <item h="1" x="3"/>
        <item h="1" x="2"/>
        <item h="1" x="1"/>
        <item h="1" x="7"/>
        <item h="1" x="6"/>
        <item h="1" x="9"/>
        <item h="1" x="10"/>
        <item h="1" x="8"/>
        <item h="1" x="12"/>
        <item h="1" x="11"/>
        <item h="1" x="5"/>
        <item t="default"/>
      </items>
    </pivotField>
    <pivotField multipleItemSelectionAllowed="1" showAll="0">
      <items count="5">
        <item h="1" x="0"/>
        <item h="1" x="2"/>
        <item x="3"/>
        <item h="1" x="1"/>
        <item t="default"/>
      </items>
    </pivotField>
    <pivotField showAll="0">
      <items count="7">
        <item sd="0" x="0"/>
        <item sd="0" x="1"/>
        <item sd="0" x="2"/>
        <item sd="0" x="3"/>
        <item sd="0" x="4"/>
        <item sd="0" x="5"/>
        <item t="default"/>
      </items>
    </pivotField>
    <pivotField multipleItemSelectionAllowed="1" showAll="0">
      <items count="6">
        <item h="1" sd="0" x="0"/>
        <item h="1" sd="0" x="1"/>
        <item h="1" sd="0" x="2"/>
        <item sd="0" x="3"/>
        <item h="1" sd="0" x="4"/>
        <item t="default"/>
      </items>
    </pivotField>
  </pivotFields>
  <rowFields count="1">
    <field x="0"/>
  </rowFields>
  <rowItems count="37">
    <i>
      <x/>
    </i>
    <i>
      <x v="1"/>
    </i>
    <i>
      <x v="2"/>
    </i>
    <i>
      <x v="3"/>
    </i>
    <i>
      <x v="4"/>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rowItems>
  <colItems count="1">
    <i/>
  </colItems>
  <dataFields count="1">
    <dataField name="Average of PRICE" fld="2" subtotal="average" baseField="0" baseItem="0"/>
  </dataFields>
  <formats count="1">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A2A74BC6-D7E3-453B-B434-4FA3AF64B5AD}" autoFormatId="16" applyNumberFormats="0" applyBorderFormats="0" applyFontFormats="0" applyPatternFormats="0" applyAlignmentFormats="0" applyWidthHeightFormats="0">
  <queryTableRefresh nextId="30">
    <queryTableFields count="29">
      <queryTableField id="1" name="State " tableColumnId="1"/>
      <queryTableField id="2" name="Dec-23" tableColumnId="2"/>
      <queryTableField id="3" name="Nov-23" tableColumnId="3"/>
      <queryTableField id="4" name="Oct-23" tableColumnId="4"/>
      <queryTableField id="5" name="Sep-23" tableColumnId="5"/>
      <queryTableField id="6" name="Aug-23" tableColumnId="6"/>
      <queryTableField id="7" name="Jul-23" tableColumnId="7"/>
      <queryTableField id="8" name="Jun-23" tableColumnId="8"/>
      <queryTableField id="9" name="May-23" tableColumnId="9"/>
      <queryTableField id="10" name="Apr-23" tableColumnId="10"/>
      <queryTableField id="11" name="Mar-23" tableColumnId="11"/>
      <queryTableField id="12" name="Feb-23" tableColumnId="12"/>
      <queryTableField id="13" name="Jan-23" tableColumnId="13"/>
      <queryTableField id="14" name="Dec-24" tableColumnId="14"/>
      <queryTableField id="15" name="Nov-24" tableColumnId="15"/>
      <queryTableField id="16" name="Oct-24" tableColumnId="16"/>
      <queryTableField id="17" name="Sep-24" tableColumnId="17"/>
      <queryTableField id="18" name="Aug-24" tableColumnId="18"/>
      <queryTableField id="19" name="Jul-24" tableColumnId="19"/>
      <queryTableField id="20" name="Jun-24" tableColumnId="20"/>
      <queryTableField id="21" name="May-24" tableColumnId="21"/>
      <queryTableField id="22" name="Apr-24" tableColumnId="22"/>
      <queryTableField id="23" name="Mar-24" tableColumnId="23"/>
      <queryTableField id="24" name="Feb-24" tableColumnId="24"/>
      <queryTableField id="25" name="Jan-24" tableColumnId="25"/>
      <queryTableField id="26" name="Apr-25" tableColumnId="26"/>
      <queryTableField id="27" name="Mar-25" tableColumnId="27"/>
      <queryTableField id="28" name="Feb-25" tableColumnId="28"/>
      <queryTableField id="29" name="Jan-25" tableColumnId="2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D82DD57B-5464-4726-99F8-DBB29CC5F8F1}" autoFormatId="16" applyNumberFormats="0" applyBorderFormats="0" applyFontFormats="0" applyPatternFormats="0" applyAlignmentFormats="0" applyWidthHeightFormats="0">
  <queryTableRefresh nextId="6">
    <queryTableFields count="5">
      <queryTableField id="1" name="State " tableColumnId="1"/>
      <queryTableField id="2" name="DATE" tableColumnId="2"/>
      <queryTableField id="3" name="PRICE" tableColumnId="3"/>
      <queryTableField id="4" name="Custom" tableColumnId="4"/>
      <queryTableField id="5" name="Year"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AB1E852-C326-418C-863B-98E536452029}" sourceName="State ">
  <pivotTables>
    <pivotTable tabId="1" name="PivotTable1(Map&amp;Cards)"/>
  </pivotTables>
  <data>
    <tabular pivotCacheId="108397913" showMissing="0" crossFilter="none">
      <items count="38">
        <i x="24" s="1"/>
        <i x="3" s="1"/>
        <i x="10" s="1"/>
        <i x="16" s="1"/>
        <i x="11" s="1"/>
        <i x="31"/>
        <i x="9" s="1"/>
        <i x="13" s="1"/>
        <i x="5" s="1"/>
        <i x="2" s="1"/>
        <i x="22" s="1"/>
        <i x="25" s="1"/>
        <i x="30" s="1"/>
        <i x="14" s="1"/>
        <i x="32" s="1"/>
        <i x="36" s="1"/>
        <i x="23" s="1"/>
        <i x="37" s="1"/>
        <i x="34" s="1"/>
        <i x="4" s="1"/>
        <i x="27" s="1"/>
        <i x="33" s="1"/>
        <i x="35" s="1"/>
        <i x="15" s="1"/>
        <i x="17" s="1"/>
        <i x="19" s="1"/>
        <i x="6" s="1"/>
        <i x="7" s="1"/>
        <i x="18" s="1"/>
        <i x="29" s="1"/>
        <i x="26" s="1"/>
        <i x="20" s="1"/>
        <i x="1" s="1"/>
        <i x="12" s="1"/>
        <i x="0" s="1"/>
        <i x="28" s="1"/>
        <i x="8" s="1"/>
        <i x="2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BE3DC96-3AE9-4F94-9864-27F9802AA897}" sourceName="Year">
  <pivotTables>
    <pivotTable tabId="1" name="PivotTable1(Map&amp;Cards)"/>
    <pivotTable tabId="1" name="Average Price Trend"/>
    <pivotTable tabId="1" name="States with the highest volatitily%"/>
    <pivotTable tabId="1" name="PivotTable7"/>
  </pivotTables>
  <data>
    <tabular pivotCacheId="108397913" showMissing="0">
      <items count="4">
        <i x="0"/>
        <i x="2"/>
        <i x="3" s="1"/>
        <i x="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B769F2B-D0A9-4E9B-A470-ECCB5C17F89E}" sourceName="Month">
  <pivotTables>
    <pivotTable tabId="1" name="top 5 Lowest States"/>
  </pivotTables>
  <data>
    <tabular pivotCacheId="108397913">
      <items count="13">
        <i x="0" s="1"/>
        <i x="4"/>
        <i x="3"/>
        <i x="2"/>
        <i x="1" nd="1"/>
        <i x="7" nd="1"/>
        <i x="6" nd="1"/>
        <i x="9" nd="1"/>
        <i x="10" nd="1"/>
        <i x="8" nd="1"/>
        <i x="12" nd="1"/>
        <i x="11"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 xr10:uid="{002FACE3-7A51-4398-A326-66ABA08F220D}" cache="Slicer_State" caption="State " rowHeight="241300"/>
  <slicer name="Year" xr10:uid="{8D825614-49AA-4E32-BB5A-A5EC9B873391}" cache="Slicer_Year" caption="Year" columnCount="3" style="Year" rowHeight="182880"/>
  <slicer name="Month" xr10:uid="{09A2455C-4FD6-4B8D-ACCA-83BED37C7D04}" cache="Slicer_Month" caption="Month" style="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4DD5DF3-E9CB-4000-9E98-87A7DEA09227}" cache="Slicer_Year" caption="Year" columnCount="3" showCaption="0" style="Year" rowHeight="182880"/>
  <slicer name="Month 1" xr10:uid="{F5009B9D-1400-48CA-B0F9-CC3F9FDBFA75}" cache="Slicer_Month" caption="Month" style="Year"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E40D29-1946-4B05-8E4B-D297EB2F6EFB}" name="Table11" displayName="Table11" ref="A1:AC39" tableType="queryTable" totalsRowShown="0">
  <autoFilter ref="A1:AC39" xr:uid="{DF23F253-B1DB-4A71-A123-9F5FF116244D}"/>
  <tableColumns count="29">
    <tableColumn id="1" xr3:uid="{70DA5134-88CA-4F1A-850E-C259B0FFF7C0}" uniqueName="1" name="State " queryTableFieldId="1" dataDxfId="97"/>
    <tableColumn id="2" xr3:uid="{8E292B82-9732-4DB1-80AE-EE1821995890}" uniqueName="2" name="Dec-23" queryTableFieldId="2" dataDxfId="96"/>
    <tableColumn id="3" xr3:uid="{A4E81711-6190-4B53-BBF9-3269C331BC73}" uniqueName="3" name="Nov-23" queryTableFieldId="3" dataDxfId="95"/>
    <tableColumn id="4" xr3:uid="{B39D7942-C337-498A-BF32-510578BFF964}" uniqueName="4" name="Oct-23" queryTableFieldId="4" dataDxfId="94"/>
    <tableColumn id="5" xr3:uid="{3C6C2CD0-5367-47F7-ACB6-6FF19799776A}" uniqueName="5" name="Sep-23" queryTableFieldId="5" dataDxfId="93"/>
    <tableColumn id="6" xr3:uid="{2AD0626D-BE01-4312-8484-51572F187B3F}" uniqueName="6" name="Aug-23" queryTableFieldId="6" dataDxfId="92"/>
    <tableColumn id="7" xr3:uid="{7D708B9F-1F41-4A9D-82CA-B15D12EF8FAB}" uniqueName="7" name="Jul-23" queryTableFieldId="7" dataDxfId="91"/>
    <tableColumn id="8" xr3:uid="{D507ADF5-3984-4776-9967-2D619E411870}" uniqueName="8" name="Jun-23" queryTableFieldId="8" dataDxfId="90"/>
    <tableColumn id="9" xr3:uid="{A10037E0-0F7F-4283-9C32-5EFDC88DA4E4}" uniqueName="9" name="May-23" queryTableFieldId="9" dataDxfId="89"/>
    <tableColumn id="10" xr3:uid="{3DB09E5E-CE82-43A9-A54A-CBB289DB57D1}" uniqueName="10" name="Apr-23" queryTableFieldId="10" dataDxfId="88"/>
    <tableColumn id="11" xr3:uid="{EC892DBD-9590-46D3-A97D-F1D69A7684FA}" uniqueName="11" name="Mar-23" queryTableFieldId="11" dataDxfId="87"/>
    <tableColumn id="12" xr3:uid="{A8E34EFC-1D52-472B-BB7E-EA2CA27A8832}" uniqueName="12" name="Feb-23" queryTableFieldId="12" dataDxfId="86"/>
    <tableColumn id="13" xr3:uid="{9DE69BC7-E1DA-4B35-B4D5-CFCE5FB4E6FA}" uniqueName="13" name="Jan-23" queryTableFieldId="13" dataDxfId="85"/>
    <tableColumn id="14" xr3:uid="{5F163719-27E7-416C-8346-D461A48BE66E}" uniqueName="14" name="Dec-24" queryTableFieldId="14" dataDxfId="84"/>
    <tableColumn id="15" xr3:uid="{723888FF-1DB3-45FC-8B90-1BAF2251ADB1}" uniqueName="15" name="Nov-24" queryTableFieldId="15" dataDxfId="83"/>
    <tableColumn id="16" xr3:uid="{F04C83F4-FEC6-4DDA-8366-98D7A5C14F4A}" uniqueName="16" name="Oct-24" queryTableFieldId="16" dataDxfId="82"/>
    <tableColumn id="17" xr3:uid="{570AF287-236E-4A71-A369-2C361FE2D47F}" uniqueName="17" name="Sep-24" queryTableFieldId="17" dataDxfId="81"/>
    <tableColumn id="18" xr3:uid="{3CA6BDF5-E6FC-42BC-80E9-F0245A406A66}" uniqueName="18" name="Aug-24" queryTableFieldId="18" dataDxfId="80"/>
    <tableColumn id="19" xr3:uid="{86384D3C-28D3-40FA-A5E0-652AD955F23C}" uniqueName="19" name="Jul-24" queryTableFieldId="19" dataDxfId="79"/>
    <tableColumn id="20" xr3:uid="{61091B6A-6429-47CA-AF50-8FE04FF5C045}" uniqueName="20" name="Jun-24" queryTableFieldId="20" dataDxfId="78"/>
    <tableColumn id="21" xr3:uid="{2E11F4E3-4C8A-47AA-8ACF-7F126D717571}" uniqueName="21" name="May-24" queryTableFieldId="21" dataDxfId="77"/>
    <tableColumn id="22" xr3:uid="{418FDFAC-DEA8-4178-B33C-FE6D432CE266}" uniqueName="22" name="Apr-24" queryTableFieldId="22" dataDxfId="76"/>
    <tableColumn id="23" xr3:uid="{97DC8161-C871-446D-AAB6-51140A414555}" uniqueName="23" name="Mar-24" queryTableFieldId="23" dataDxfId="75"/>
    <tableColumn id="24" xr3:uid="{26240CE8-4067-410F-8312-B6E883836286}" uniqueName="24" name="Feb-24" queryTableFieldId="24" dataDxfId="74"/>
    <tableColumn id="25" xr3:uid="{AF45EA7D-22CA-4C18-9049-6F00010F919A}" uniqueName="25" name="Jan-24" queryTableFieldId="25" dataDxfId="73"/>
    <tableColumn id="26" xr3:uid="{708F1A7C-26FC-4729-9B52-9BD2B570EFDF}" uniqueName="26" name="Apr-25" queryTableFieldId="26" dataDxfId="72"/>
    <tableColumn id="27" xr3:uid="{078E7217-F179-4873-A47D-AEC74446F050}" uniqueName="27" name="Mar-25" queryTableFieldId="27" dataDxfId="71"/>
    <tableColumn id="28" xr3:uid="{A1C85C2D-AF9E-4CEF-990E-000AC3F7D4F2}" uniqueName="28" name="Feb-25" queryTableFieldId="28" dataDxfId="70"/>
    <tableColumn id="29" xr3:uid="{15930BC0-E8EE-4C4B-B763-B5F2C1CEE149}" uniqueName="29" name="Jan-25" queryTableFieldId="29" dataDxfId="6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DC810D-FB8F-464F-90B3-A76F3721A428}" name="Table1_1" displayName="Table1_1" ref="A1:E1065" tableType="queryTable" totalsRowShown="0">
  <autoFilter ref="A1:E1065" xr:uid="{5A5FCDF0-D9CA-43CD-886A-CD623F3384A0}">
    <filterColumn colId="4">
      <filters>
        <filter val="2024"/>
      </filters>
    </filterColumn>
  </autoFilter>
  <sortState xmlns:xlrd2="http://schemas.microsoft.com/office/spreadsheetml/2017/richdata2" ref="A2:E1065">
    <sortCondition ref="A1:A1065"/>
  </sortState>
  <tableColumns count="5">
    <tableColumn id="1" xr3:uid="{20B5F53B-5D5C-4859-83DC-8A4F76BA6805}" uniqueName="1" name="State " queryTableFieldId="1" dataDxfId="68"/>
    <tableColumn id="2" xr3:uid="{39AF72E3-35F8-4072-83C4-91FB37F23460}" uniqueName="2" name="DATE" queryTableFieldId="2" dataDxfId="67"/>
    <tableColumn id="3" xr3:uid="{650716F9-42DC-493B-9DDD-4A59DEDEA3A8}" uniqueName="3" name="PRICE" queryTableFieldId="3" dataDxfId="66"/>
    <tableColumn id="4" xr3:uid="{C2A1C721-62BF-40E1-BED0-8F34DA9A6810}" uniqueName="4" name="Month" queryTableFieldId="4" dataDxfId="65"/>
    <tableColumn id="5" xr3:uid="{A1984671-98BD-48CB-BD55-C918633E7152}" uniqueName="5" name="Year" queryTableFieldId="5"/>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B51C4-66D3-4BF4-A16D-CD504ECE7EB3}">
  <dimension ref="A1:AC39"/>
  <sheetViews>
    <sheetView topLeftCell="R1" workbookViewId="0">
      <selection activeCell="AD27" sqref="AD27"/>
    </sheetView>
  </sheetViews>
  <sheetFormatPr defaultRowHeight="15" x14ac:dyDescent="0.25"/>
  <cols>
    <col min="1" max="1" width="9.5703125" bestFit="1" customWidth="1"/>
    <col min="2" max="13" width="12.140625" bestFit="1" customWidth="1"/>
    <col min="14" max="17" width="13.140625" bestFit="1" customWidth="1"/>
    <col min="18" max="25" width="12.140625" bestFit="1" customWidth="1"/>
    <col min="26" max="29" width="13.140625" bestFit="1" customWidth="1"/>
  </cols>
  <sheetData>
    <row r="1" spans="1:29" x14ac:dyDescent="0.25">
      <c r="A1" t="s">
        <v>0</v>
      </c>
      <c r="B1" t="s">
        <v>54</v>
      </c>
      <c r="C1" t="s">
        <v>55</v>
      </c>
      <c r="D1" t="s">
        <v>56</v>
      </c>
      <c r="E1" t="s">
        <v>57</v>
      </c>
      <c r="F1" t="s">
        <v>58</v>
      </c>
      <c r="G1" t="s">
        <v>59</v>
      </c>
      <c r="H1" t="s">
        <v>60</v>
      </c>
      <c r="I1" t="s">
        <v>61</v>
      </c>
      <c r="J1" t="s">
        <v>62</v>
      </c>
      <c r="K1" t="s">
        <v>63</v>
      </c>
      <c r="L1" t="s">
        <v>64</v>
      </c>
      <c r="M1" t="s">
        <v>65</v>
      </c>
      <c r="N1" t="s">
        <v>66</v>
      </c>
      <c r="O1" t="s">
        <v>67</v>
      </c>
      <c r="P1" t="s">
        <v>68</v>
      </c>
      <c r="Q1" t="s">
        <v>69</v>
      </c>
      <c r="R1" t="s">
        <v>70</v>
      </c>
      <c r="S1" t="s">
        <v>71</v>
      </c>
      <c r="T1" t="s">
        <v>72</v>
      </c>
      <c r="U1" t="s">
        <v>73</v>
      </c>
      <c r="V1" t="s">
        <v>74</v>
      </c>
      <c r="W1" t="s">
        <v>75</v>
      </c>
      <c r="X1" t="s">
        <v>76</v>
      </c>
      <c r="Y1" t="s">
        <v>77</v>
      </c>
      <c r="Z1" t="s">
        <v>78</v>
      </c>
      <c r="AA1" t="s">
        <v>79</v>
      </c>
      <c r="AB1" t="s">
        <v>80</v>
      </c>
      <c r="AC1" t="s">
        <v>81</v>
      </c>
    </row>
    <row r="2" spans="1:29" x14ac:dyDescent="0.25">
      <c r="A2" t="s">
        <v>33</v>
      </c>
      <c r="B2" s="2">
        <v>690.52631578947364</v>
      </c>
      <c r="C2" s="2">
        <v>654.35714285714289</v>
      </c>
      <c r="D2" s="2">
        <v>621.25</v>
      </c>
      <c r="E2" s="2">
        <v>630.642857142857</v>
      </c>
      <c r="F2" s="2">
        <v>631.33333333333337</v>
      </c>
      <c r="G2" s="2">
        <v>643.125</v>
      </c>
      <c r="H2" s="2">
        <v>552.72727272727298</v>
      </c>
      <c r="I2" s="2">
        <v>236.25</v>
      </c>
      <c r="J2" s="2">
        <v>220.45</v>
      </c>
      <c r="K2" s="2">
        <v>300.538461538462</v>
      </c>
      <c r="L2" s="2">
        <v>288.57142857142856</v>
      </c>
      <c r="M2" s="2">
        <v>300.69230769230802</v>
      </c>
      <c r="N2" s="2">
        <v>1224.671875</v>
      </c>
      <c r="O2" s="2">
        <v>1260.65625</v>
      </c>
      <c r="P2" s="2">
        <v>1278.125</v>
      </c>
      <c r="Q2" s="2">
        <v>1009</v>
      </c>
      <c r="R2" s="2">
        <v>887.72307880108178</v>
      </c>
      <c r="S2" s="2">
        <v>797.42058608111211</v>
      </c>
      <c r="T2" s="2">
        <v>794.90909090909088</v>
      </c>
      <c r="U2" s="2">
        <v>770</v>
      </c>
      <c r="V2" s="2">
        <v>706</v>
      </c>
      <c r="W2" s="2">
        <v>710.83333333333303</v>
      </c>
      <c r="X2" s="2">
        <v>688.62</v>
      </c>
      <c r="Y2" s="2">
        <v>687.5</v>
      </c>
      <c r="Z2" s="2">
        <v>1227.1512500000001</v>
      </c>
      <c r="AA2" s="2">
        <v>1305</v>
      </c>
      <c r="AB2" s="2">
        <v>1272</v>
      </c>
      <c r="AC2" s="2">
        <v>1308.2604733999999</v>
      </c>
    </row>
    <row r="3" spans="1:29" x14ac:dyDescent="0.25">
      <c r="A3" t="s">
        <v>8</v>
      </c>
      <c r="B3" s="2">
        <v>663.33333333333337</v>
      </c>
      <c r="C3" s="2">
        <v>640</v>
      </c>
      <c r="D3" s="2">
        <v>637.20000000000005</v>
      </c>
      <c r="E3" s="2">
        <v>617.78</v>
      </c>
      <c r="F3" s="2">
        <v>617.6</v>
      </c>
      <c r="G3" s="2">
        <v>616.83333333333303</v>
      </c>
      <c r="H3" s="2">
        <v>539.142857142857</v>
      </c>
      <c r="I3" s="2">
        <v>195</v>
      </c>
      <c r="J3" s="2">
        <v>198.125</v>
      </c>
      <c r="K3" s="2">
        <v>222.90909090909091</v>
      </c>
      <c r="L3" s="2">
        <v>200</v>
      </c>
      <c r="M3" s="2">
        <v>229</v>
      </c>
      <c r="N3" s="2">
        <v>1102.25</v>
      </c>
      <c r="O3" s="2">
        <v>1230.5639892578124</v>
      </c>
      <c r="P3" s="2">
        <v>1124.6125</v>
      </c>
      <c r="Q3" s="2">
        <v>1025</v>
      </c>
      <c r="R3" s="2">
        <v>705.25</v>
      </c>
      <c r="S3" s="2">
        <v>677</v>
      </c>
      <c r="T3" s="2">
        <v>696</v>
      </c>
      <c r="U3" s="2">
        <v>662.73111111111109</v>
      </c>
      <c r="V3" s="2">
        <v>670</v>
      </c>
      <c r="W3" s="2">
        <v>695.6</v>
      </c>
      <c r="X3" s="2">
        <v>653.20000000000005</v>
      </c>
      <c r="Y3" s="2">
        <v>632.12444444444395</v>
      </c>
      <c r="Z3" s="2">
        <v>1180.4166666666699</v>
      </c>
      <c r="AA3" s="2">
        <v>1149.4146000000001</v>
      </c>
      <c r="AB3" s="2">
        <v>1166</v>
      </c>
      <c r="AC3" s="2">
        <v>1182</v>
      </c>
    </row>
    <row r="4" spans="1:29" x14ac:dyDescent="0.25">
      <c r="A4" t="s">
        <v>19</v>
      </c>
      <c r="B4" s="2">
        <v>745.71428571428567</v>
      </c>
      <c r="C4" s="2">
        <v>638.375</v>
      </c>
      <c r="D4" s="2">
        <v>615.71428571428567</v>
      </c>
      <c r="E4" s="2">
        <v>621.42857142857099</v>
      </c>
      <c r="F4" s="2">
        <v>594.8125</v>
      </c>
      <c r="G4" s="2">
        <v>630</v>
      </c>
      <c r="H4" s="2">
        <v>551.25</v>
      </c>
      <c r="I4" s="2">
        <v>238.888888888889</v>
      </c>
      <c r="J4" s="2">
        <v>206.111111111111</v>
      </c>
      <c r="K4" s="2">
        <v>305.33333333333297</v>
      </c>
      <c r="L4" s="2">
        <v>300.66666666666703</v>
      </c>
      <c r="M4" s="2">
        <v>260.5</v>
      </c>
      <c r="N4" s="2">
        <v>1301.3333333333301</v>
      </c>
      <c r="O4" s="2">
        <v>1319.8472290039063</v>
      </c>
      <c r="P4" s="2">
        <v>1210.9249877929688</v>
      </c>
      <c r="Q4" s="2">
        <v>1082.5</v>
      </c>
      <c r="R4" s="2">
        <v>879.5555419921875</v>
      </c>
      <c r="S4" s="2">
        <v>809.73333740234375</v>
      </c>
      <c r="T4" s="2">
        <v>741.66666666666663</v>
      </c>
      <c r="U4" s="2">
        <v>798.6</v>
      </c>
      <c r="V4" s="2">
        <v>741.66666666666663</v>
      </c>
      <c r="W4" s="2">
        <v>735</v>
      </c>
      <c r="X4" s="2">
        <v>680.42</v>
      </c>
      <c r="Y4" s="2">
        <v>671.4</v>
      </c>
      <c r="Z4" s="2">
        <v>1370</v>
      </c>
      <c r="AA4" s="2">
        <v>1400</v>
      </c>
      <c r="AB4" s="2">
        <v>1400</v>
      </c>
      <c r="AC4" s="2">
        <v>1350</v>
      </c>
    </row>
    <row r="5" spans="1:29" x14ac:dyDescent="0.25">
      <c r="A5" t="s">
        <v>25</v>
      </c>
      <c r="B5" s="2">
        <v>671.66666666666663</v>
      </c>
      <c r="C5" s="2">
        <v>675</v>
      </c>
      <c r="D5" s="2">
        <v>633.33333333333337</v>
      </c>
      <c r="E5" s="2">
        <v>636.66666666666663</v>
      </c>
      <c r="F5" s="2">
        <v>642.5</v>
      </c>
      <c r="G5" s="2">
        <v>558.75</v>
      </c>
      <c r="H5" s="2">
        <v>541</v>
      </c>
      <c r="I5" s="2">
        <v>239</v>
      </c>
      <c r="J5" s="2">
        <v>212</v>
      </c>
      <c r="K5" s="2">
        <v>305.555555555556</v>
      </c>
      <c r="L5" s="2">
        <v>255.5</v>
      </c>
      <c r="M5" s="2">
        <v>319</v>
      </c>
      <c r="N5" s="2">
        <v>1146.9375</v>
      </c>
      <c r="O5" s="2">
        <v>1203.9285714285713</v>
      </c>
      <c r="P5" s="2">
        <v>1258.3333333333333</v>
      </c>
      <c r="Q5" s="2">
        <v>1085.7142857142901</v>
      </c>
      <c r="R5" s="2">
        <v>681.42857142857144</v>
      </c>
      <c r="S5" s="2">
        <v>673.75</v>
      </c>
      <c r="T5" s="2">
        <v>807.77777777777783</v>
      </c>
      <c r="U5" s="2">
        <v>790</v>
      </c>
      <c r="V5" s="2">
        <v>692.5</v>
      </c>
      <c r="W5" s="2">
        <v>704.444444444444</v>
      </c>
      <c r="X5" s="2">
        <v>678</v>
      </c>
      <c r="Y5" s="2">
        <v>677</v>
      </c>
      <c r="Z5" s="2">
        <v>1139</v>
      </c>
      <c r="AA5" s="2">
        <v>1184.0562500000001</v>
      </c>
      <c r="AB5" s="2">
        <v>1162.5</v>
      </c>
      <c r="AC5" s="2">
        <v>1287.5</v>
      </c>
    </row>
    <row r="6" spans="1:29" x14ac:dyDescent="0.25">
      <c r="A6" t="s">
        <v>20</v>
      </c>
      <c r="B6" s="2">
        <v>680</v>
      </c>
      <c r="C6" s="2">
        <v>659.16666666666663</v>
      </c>
      <c r="D6" s="2">
        <v>623.66666666666663</v>
      </c>
      <c r="E6" s="2">
        <v>619.23076923076928</v>
      </c>
      <c r="F6" s="2">
        <v>620.4666666666667</v>
      </c>
      <c r="G6" s="2">
        <v>613.08333333333337</v>
      </c>
      <c r="H6" s="2">
        <v>534.444444444444</v>
      </c>
      <c r="I6" s="2">
        <v>224.28571428571428</v>
      </c>
      <c r="J6" s="2">
        <v>207.5</v>
      </c>
      <c r="K6" s="2">
        <v>286.11111111111109</v>
      </c>
      <c r="L6" s="2">
        <v>310.83333333333331</v>
      </c>
      <c r="M6" s="2">
        <v>306.94444444444446</v>
      </c>
      <c r="N6" s="2">
        <v>1238.7611355251699</v>
      </c>
      <c r="O6" s="2">
        <v>1270.75</v>
      </c>
      <c r="P6" s="2">
        <v>1283.125</v>
      </c>
      <c r="Q6" s="2">
        <v>1084.1571568080358</v>
      </c>
      <c r="R6" s="2">
        <v>883.73042079380582</v>
      </c>
      <c r="S6" s="2">
        <v>781.99454171316961</v>
      </c>
      <c r="T6" s="2">
        <v>779.41964285714289</v>
      </c>
      <c r="U6" s="2">
        <v>766.94444444444446</v>
      </c>
      <c r="V6" s="2">
        <v>707.85714285714289</v>
      </c>
      <c r="W6" s="2">
        <v>701.25</v>
      </c>
      <c r="X6" s="2">
        <v>685.17</v>
      </c>
      <c r="Y6" s="2">
        <v>680</v>
      </c>
      <c r="Z6" s="2">
        <v>1240.6881553846199</v>
      </c>
      <c r="AA6" s="2">
        <v>1142.44883333333</v>
      </c>
      <c r="AB6" s="2">
        <v>1021.66666666667</v>
      </c>
      <c r="AC6" s="2">
        <v>1080</v>
      </c>
    </row>
    <row r="7" spans="1:29" x14ac:dyDescent="0.25">
      <c r="A7" t="s">
        <v>18</v>
      </c>
      <c r="B7" s="2">
        <v>675.28571428571433</v>
      </c>
      <c r="C7" s="2">
        <v>650</v>
      </c>
      <c r="D7" s="2">
        <v>650</v>
      </c>
      <c r="E7" s="2">
        <v>626.375</v>
      </c>
      <c r="F7" s="2">
        <v>627.11111111111109</v>
      </c>
      <c r="G7" s="2">
        <v>617</v>
      </c>
      <c r="H7" s="2">
        <v>547.77777777777806</v>
      </c>
      <c r="I7" s="2">
        <v>205.55555555555554</v>
      </c>
      <c r="J7" s="2">
        <v>208</v>
      </c>
      <c r="K7" s="2">
        <v>273</v>
      </c>
      <c r="L7" s="2">
        <v>250</v>
      </c>
      <c r="M7" s="2">
        <v>245.4</v>
      </c>
      <c r="N7" s="2">
        <v>1183.47727272727</v>
      </c>
      <c r="O7" s="2">
        <v>1181.6923076923076</v>
      </c>
      <c r="P7" s="2">
        <v>1194.2857142857142</v>
      </c>
      <c r="Q7" s="2">
        <v>1043.9090909090901</v>
      </c>
      <c r="R7" s="2">
        <v>935.71428571428567</v>
      </c>
      <c r="S7" s="2">
        <v>816.25</v>
      </c>
      <c r="T7" s="2">
        <v>718.75</v>
      </c>
      <c r="U7" s="2">
        <v>693.80555555555554</v>
      </c>
      <c r="V7" s="2">
        <v>718.75</v>
      </c>
      <c r="W7" s="2">
        <v>707.142857142857</v>
      </c>
      <c r="X7" s="2">
        <v>688.57142857142901</v>
      </c>
      <c r="Y7" s="2">
        <v>650</v>
      </c>
      <c r="Z7" s="2">
        <v>1186.9822999999999</v>
      </c>
      <c r="AA7" s="2">
        <v>1125.549</v>
      </c>
      <c r="AB7" s="2">
        <v>1090</v>
      </c>
      <c r="AC7" s="2">
        <v>1225</v>
      </c>
    </row>
    <row r="8" spans="1:29" x14ac:dyDescent="0.25">
      <c r="A8" t="s">
        <v>22</v>
      </c>
      <c r="B8" s="2">
        <v>667.11111111111109</v>
      </c>
      <c r="C8" s="2">
        <v>656.66666666666663</v>
      </c>
      <c r="D8" s="2">
        <v>626.11111111111109</v>
      </c>
      <c r="E8" s="2">
        <v>624</v>
      </c>
      <c r="F8" s="2">
        <v>620.55555555555554</v>
      </c>
      <c r="G8" s="2">
        <v>548</v>
      </c>
      <c r="H8" s="2">
        <v>540.5</v>
      </c>
      <c r="I8" s="2">
        <v>250</v>
      </c>
      <c r="J8" s="2">
        <v>210</v>
      </c>
      <c r="K8" s="2">
        <v>296.5</v>
      </c>
      <c r="L8" s="2">
        <v>231.42857142857142</v>
      </c>
      <c r="M8" s="2">
        <v>305</v>
      </c>
      <c r="N8" s="2">
        <v>1161.875</v>
      </c>
      <c r="O8" s="2">
        <v>1209.1666666666667</v>
      </c>
      <c r="P8" s="2">
        <v>1250</v>
      </c>
      <c r="Q8" s="2">
        <v>1002.72727272727</v>
      </c>
      <c r="R8" s="2">
        <v>680</v>
      </c>
      <c r="S8" s="2">
        <v>684</v>
      </c>
      <c r="T8" s="2">
        <v>797.27272727272725</v>
      </c>
      <c r="U8" s="2">
        <v>791</v>
      </c>
      <c r="V8" s="2">
        <v>689</v>
      </c>
      <c r="W8" s="2">
        <v>702</v>
      </c>
      <c r="X8" s="2">
        <v>680</v>
      </c>
      <c r="Y8" s="2">
        <v>673</v>
      </c>
      <c r="Z8" s="2">
        <v>1185.9000000000001</v>
      </c>
      <c r="AA8" s="2">
        <v>1000</v>
      </c>
      <c r="AB8" s="2">
        <v>1000</v>
      </c>
      <c r="AC8" s="2">
        <v>1000</v>
      </c>
    </row>
    <row r="9" spans="1:29" x14ac:dyDescent="0.25">
      <c r="A9" t="s">
        <v>12</v>
      </c>
      <c r="B9" s="2">
        <v>658.88888888888891</v>
      </c>
      <c r="C9" s="2">
        <v>668.75</v>
      </c>
      <c r="D9" s="2">
        <v>642</v>
      </c>
      <c r="E9" s="2">
        <v>641.28571428571399</v>
      </c>
      <c r="F9" s="2">
        <v>649.14285714285711</v>
      </c>
      <c r="G9" s="2">
        <v>537</v>
      </c>
      <c r="H9" s="2">
        <v>540</v>
      </c>
      <c r="I9" s="2">
        <v>208.125</v>
      </c>
      <c r="J9" s="2">
        <v>291.25</v>
      </c>
      <c r="K9" s="2">
        <v>195</v>
      </c>
      <c r="L9" s="2">
        <v>200</v>
      </c>
      <c r="M9" s="2">
        <v>202.5</v>
      </c>
      <c r="N9" s="2">
        <v>1234.54545454545</v>
      </c>
      <c r="O9" s="2">
        <v>1365.1628766741071</v>
      </c>
      <c r="P9" s="2">
        <v>1127.3728402944701</v>
      </c>
      <c r="Q9" s="2">
        <v>1032.87839577415</v>
      </c>
      <c r="R9" s="2">
        <v>941.2422318892045</v>
      </c>
      <c r="S9" s="2">
        <v>846.94582112630212</v>
      </c>
      <c r="T9" s="2">
        <v>854.5454545454545</v>
      </c>
      <c r="U9" s="2">
        <v>882.22222222222217</v>
      </c>
      <c r="V9" s="2">
        <v>713.63636363636363</v>
      </c>
      <c r="W9" s="2">
        <v>700.7</v>
      </c>
      <c r="X9" s="2">
        <v>652.72727272727298</v>
      </c>
      <c r="Y9" s="2">
        <v>632.84457671957705</v>
      </c>
      <c r="Z9" s="2">
        <v>1341.34338461538</v>
      </c>
      <c r="AA9" s="2">
        <v>1451.69333333333</v>
      </c>
      <c r="AB9" s="2">
        <v>1450</v>
      </c>
      <c r="AC9" s="2">
        <v>1411.1111111111099</v>
      </c>
    </row>
    <row r="10" spans="1:29" x14ac:dyDescent="0.25">
      <c r="A10" t="s">
        <v>7</v>
      </c>
      <c r="B10" s="2">
        <v>622.71428571428567</v>
      </c>
      <c r="C10" s="2">
        <v>625.75</v>
      </c>
      <c r="D10" s="2">
        <v>657.27272727272725</v>
      </c>
      <c r="E10" s="2">
        <v>657.37272727272705</v>
      </c>
      <c r="F10" s="2">
        <v>657.27272727272725</v>
      </c>
      <c r="G10" s="2">
        <v>657.27272727272725</v>
      </c>
      <c r="H10" s="2">
        <v>557.142857142857</v>
      </c>
      <c r="I10" s="2">
        <v>248.18181818181799</v>
      </c>
      <c r="J10" s="2">
        <v>256.25</v>
      </c>
      <c r="K10" s="2">
        <v>324.54545454545502</v>
      </c>
      <c r="L10" s="2">
        <v>214.54545454545499</v>
      </c>
      <c r="M10" s="2">
        <v>193.90909090909091</v>
      </c>
      <c r="N10" s="2">
        <v>1282.38461538462</v>
      </c>
      <c r="O10" s="2">
        <v>1331.9444444444443</v>
      </c>
      <c r="P10" s="2">
        <v>1283.7857142857142</v>
      </c>
      <c r="Q10" s="2">
        <v>1004.09090909091</v>
      </c>
      <c r="R10" s="2">
        <v>893.29166666666663</v>
      </c>
      <c r="S10" s="2">
        <v>829.46428571428567</v>
      </c>
      <c r="T10" s="2">
        <v>743.90909090909088</v>
      </c>
      <c r="U10" s="2">
        <v>800.31818181818187</v>
      </c>
      <c r="V10" s="2">
        <v>743.90909090909088</v>
      </c>
      <c r="W10" s="2">
        <v>721.75</v>
      </c>
      <c r="X10" s="2">
        <v>680.22</v>
      </c>
      <c r="Y10" s="2">
        <v>657.27272727272702</v>
      </c>
      <c r="Z10" s="2">
        <v>1153.3333333333301</v>
      </c>
      <c r="AA10" s="2">
        <v>1138.7</v>
      </c>
      <c r="AB10" s="2">
        <v>1066.6666666666699</v>
      </c>
      <c r="AC10" s="2">
        <v>1066.6666666666699</v>
      </c>
    </row>
    <row r="11" spans="1:29" x14ac:dyDescent="0.25">
      <c r="A11" t="s">
        <v>31</v>
      </c>
      <c r="B11" s="2">
        <v>679</v>
      </c>
      <c r="C11" s="2">
        <v>666</v>
      </c>
      <c r="D11" s="2">
        <v>610.5</v>
      </c>
      <c r="E11" s="2">
        <v>621.72727272727298</v>
      </c>
      <c r="F11" s="2">
        <v>618.66666666666663</v>
      </c>
      <c r="G11" s="2">
        <v>569.375</v>
      </c>
      <c r="H11" s="2">
        <v>549</v>
      </c>
      <c r="I11" s="2">
        <v>230</v>
      </c>
      <c r="J11" s="2">
        <v>289.09090909090901</v>
      </c>
      <c r="K11" s="2">
        <v>263.33333333333331</v>
      </c>
      <c r="L11" s="2">
        <v>220</v>
      </c>
      <c r="M11" s="2">
        <v>261.66666666666669</v>
      </c>
      <c r="N11" s="2">
        <v>1228.1875</v>
      </c>
      <c r="O11" s="2">
        <v>1218.5416666666667</v>
      </c>
      <c r="P11" s="2">
        <v>1255.5555555555557</v>
      </c>
      <c r="Q11" s="2">
        <v>1005.55555555556</v>
      </c>
      <c r="R11" s="2">
        <v>672</v>
      </c>
      <c r="S11" s="2">
        <v>677.77777777777783</v>
      </c>
      <c r="T11" s="2">
        <v>793.33333333333337</v>
      </c>
      <c r="U11" s="2">
        <v>740</v>
      </c>
      <c r="V11" s="2">
        <v>682.77777777777783</v>
      </c>
      <c r="W11" s="2">
        <v>710</v>
      </c>
      <c r="X11" s="2">
        <v>665.625</v>
      </c>
      <c r="Y11" s="2">
        <v>663.33333333333303</v>
      </c>
      <c r="Z11" s="2">
        <v>1301.6875</v>
      </c>
      <c r="AA11" s="2">
        <v>1563.86388888889</v>
      </c>
      <c r="AB11" s="2">
        <v>1477.7777777777801</v>
      </c>
      <c r="AC11" s="2">
        <v>1483.3333333333301</v>
      </c>
    </row>
    <row r="12" spans="1:29" x14ac:dyDescent="0.25">
      <c r="A12" t="s">
        <v>34</v>
      </c>
      <c r="B12" s="2">
        <v>640</v>
      </c>
      <c r="C12" s="2">
        <v>670</v>
      </c>
      <c r="D12" s="2">
        <v>599.375</v>
      </c>
      <c r="E12" s="2">
        <v>605.875</v>
      </c>
      <c r="F12" s="2">
        <v>604.625</v>
      </c>
      <c r="G12" s="2">
        <v>575.71428571428567</v>
      </c>
      <c r="H12" s="2">
        <v>542.75</v>
      </c>
      <c r="I12" s="2">
        <v>225</v>
      </c>
      <c r="J12" s="2">
        <v>300.51</v>
      </c>
      <c r="K12" s="2">
        <v>259.16666666666669</v>
      </c>
      <c r="L12" s="2">
        <v>233.57142857142858</v>
      </c>
      <c r="M12" s="2">
        <v>268.33333333333331</v>
      </c>
      <c r="N12" s="2">
        <v>1282.7142857142901</v>
      </c>
      <c r="O12" s="2">
        <v>1170.3571428571429</v>
      </c>
      <c r="P12" s="2">
        <v>1050</v>
      </c>
      <c r="Q12" s="2">
        <v>1007.27272727273</v>
      </c>
      <c r="R12" s="2">
        <v>667.5</v>
      </c>
      <c r="S12" s="2">
        <v>680</v>
      </c>
      <c r="T12" s="2">
        <v>785.71428571428567</v>
      </c>
      <c r="U12" s="2">
        <v>748</v>
      </c>
      <c r="V12" s="2">
        <v>688.75</v>
      </c>
      <c r="W12" s="2">
        <v>696.875</v>
      </c>
      <c r="X12" s="2">
        <v>687</v>
      </c>
      <c r="Y12" s="2">
        <v>665.625</v>
      </c>
      <c r="Z12" s="2">
        <v>1161.4136000000001</v>
      </c>
      <c r="AA12" s="2">
        <v>1175.93028571429</v>
      </c>
      <c r="AB12" s="2">
        <v>1131.42857142857</v>
      </c>
      <c r="AC12" s="2">
        <v>1364.2857142857099</v>
      </c>
    </row>
    <row r="13" spans="1:29" x14ac:dyDescent="0.25">
      <c r="A13" t="s">
        <v>39</v>
      </c>
      <c r="B13" s="2">
        <v>671.42857142857144</v>
      </c>
      <c r="C13" s="2">
        <v>667.14285714285711</v>
      </c>
      <c r="D13" s="2">
        <v>620</v>
      </c>
      <c r="E13" s="2">
        <v>625.71428571428601</v>
      </c>
      <c r="F13" s="2">
        <v>630</v>
      </c>
      <c r="G13" s="2">
        <v>618</v>
      </c>
      <c r="H13" s="2">
        <v>535</v>
      </c>
      <c r="I13" s="2">
        <v>235</v>
      </c>
      <c r="J13" s="2">
        <v>320</v>
      </c>
      <c r="K13" s="2">
        <v>301.66666666666669</v>
      </c>
      <c r="L13" s="2">
        <v>317.14285714285717</v>
      </c>
      <c r="M13" s="2">
        <v>286.36363636363637</v>
      </c>
      <c r="N13" s="2">
        <v>1280.41359165737</v>
      </c>
      <c r="O13" s="2">
        <v>1287.5714285714287</v>
      </c>
      <c r="P13" s="2">
        <v>1292.8571428571429</v>
      </c>
      <c r="Q13" s="2">
        <v>1090.9375</v>
      </c>
      <c r="R13" s="2">
        <v>863.31429617745539</v>
      </c>
      <c r="S13" s="2">
        <v>780.77143205915183</v>
      </c>
      <c r="T13" s="2">
        <v>795.5</v>
      </c>
      <c r="U13" s="2">
        <v>770</v>
      </c>
      <c r="V13" s="2">
        <v>702.5</v>
      </c>
      <c r="W13" s="2">
        <v>710.71428571428601</v>
      </c>
      <c r="X13" s="2">
        <v>670</v>
      </c>
      <c r="Y13" s="2">
        <v>638.71428571428601</v>
      </c>
      <c r="Z13" s="2">
        <v>1118.79817142857</v>
      </c>
      <c r="AA13" s="2">
        <v>1186.354</v>
      </c>
      <c r="AB13" s="2">
        <v>1140</v>
      </c>
      <c r="AC13" s="2">
        <v>1133.3333333333301</v>
      </c>
    </row>
    <row r="14" spans="1:29" x14ac:dyDescent="0.25">
      <c r="A14" t="s">
        <v>23</v>
      </c>
      <c r="B14" s="2">
        <v>661.875</v>
      </c>
      <c r="C14" s="2">
        <v>650</v>
      </c>
      <c r="D14" s="2">
        <v>637.5</v>
      </c>
      <c r="E14" s="2">
        <v>620</v>
      </c>
      <c r="F14" s="2">
        <v>618.57142857142856</v>
      </c>
      <c r="G14" s="2">
        <v>530</v>
      </c>
      <c r="H14" s="2">
        <v>546.6</v>
      </c>
      <c r="I14" s="2">
        <v>231.42857142857142</v>
      </c>
      <c r="J14" s="2">
        <v>210</v>
      </c>
      <c r="K14" s="2">
        <v>276.42857142857144</v>
      </c>
      <c r="L14" s="2">
        <v>215.71428571428572</v>
      </c>
      <c r="M14" s="2">
        <v>281.42857142857144</v>
      </c>
      <c r="N14" s="2">
        <v>1142.4000000000001</v>
      </c>
      <c r="O14" s="2">
        <v>1187.6071428571429</v>
      </c>
      <c r="P14" s="2">
        <v>1227.5</v>
      </c>
      <c r="Q14" s="2">
        <v>1062.5</v>
      </c>
      <c r="R14" s="2">
        <v>676.25</v>
      </c>
      <c r="S14" s="2">
        <v>669.75</v>
      </c>
      <c r="T14" s="2">
        <v>773.75</v>
      </c>
      <c r="U14" s="2">
        <v>768.33333333333337</v>
      </c>
      <c r="V14" s="2">
        <v>691.25</v>
      </c>
      <c r="W14" s="2">
        <v>685</v>
      </c>
      <c r="X14" s="2">
        <v>672.5</v>
      </c>
      <c r="Y14" s="2">
        <v>662</v>
      </c>
      <c r="Z14" s="2">
        <v>1283.2363333333301</v>
      </c>
      <c r="AA14" s="2">
        <v>1256.6079999999999</v>
      </c>
      <c r="AB14" s="2">
        <v>1280</v>
      </c>
      <c r="AC14" s="2">
        <v>1146</v>
      </c>
    </row>
    <row r="15" spans="1:29" x14ac:dyDescent="0.25">
      <c r="A15" t="s">
        <v>41</v>
      </c>
      <c r="B15" s="2">
        <v>653.4375</v>
      </c>
      <c r="C15" s="2">
        <v>641.25</v>
      </c>
      <c r="D15" s="2">
        <v>613.57142857142856</v>
      </c>
      <c r="E15" s="2">
        <v>619.6875</v>
      </c>
      <c r="F15" s="2">
        <v>625.75</v>
      </c>
      <c r="G15" s="2">
        <v>619.57142857142856</v>
      </c>
      <c r="H15" s="2">
        <v>539.33333333333303</v>
      </c>
      <c r="I15" s="2">
        <v>240.88235294117646</v>
      </c>
      <c r="J15" s="2">
        <v>305</v>
      </c>
      <c r="K15" s="2">
        <v>239.28571428571428</v>
      </c>
      <c r="L15" s="2">
        <v>308.92857142857144</v>
      </c>
      <c r="M15" s="2">
        <v>257.36842105263156</v>
      </c>
      <c r="N15" s="2">
        <v>1120</v>
      </c>
      <c r="O15" s="2">
        <v>1182.3809523809523</v>
      </c>
      <c r="P15" s="2">
        <v>1116.4705882352941</v>
      </c>
      <c r="Q15" s="2">
        <v>1039.3333333333301</v>
      </c>
      <c r="R15" s="2">
        <v>830.83333333333337</v>
      </c>
      <c r="S15" s="2">
        <v>774.375</v>
      </c>
      <c r="T15" s="2">
        <v>747.22222222222217</v>
      </c>
      <c r="U15" s="2">
        <v>798</v>
      </c>
      <c r="V15" s="2">
        <v>661.66666666666663</v>
      </c>
      <c r="W15" s="2">
        <v>661.5625</v>
      </c>
      <c r="X15" s="2">
        <v>655</v>
      </c>
      <c r="Y15" s="2">
        <v>651.331269349845</v>
      </c>
      <c r="Z15" s="2">
        <v>1226.29711</v>
      </c>
      <c r="AA15" s="2">
        <v>963.40233333333003</v>
      </c>
      <c r="AB15" s="2">
        <v>956.66666666666697</v>
      </c>
      <c r="AC15" s="2">
        <v>1180</v>
      </c>
    </row>
    <row r="16" spans="1:29" x14ac:dyDescent="0.25">
      <c r="A16" t="s">
        <v>45</v>
      </c>
      <c r="B16" s="2">
        <v>673.125</v>
      </c>
      <c r="C16" s="2">
        <v>651.52173913043475</v>
      </c>
      <c r="D16" s="2">
        <v>621.92307692307691</v>
      </c>
      <c r="E16" s="2">
        <v>628.88888888888903</v>
      </c>
      <c r="F16" s="2">
        <v>627.85714285714289</v>
      </c>
      <c r="G16" s="2">
        <v>640</v>
      </c>
      <c r="H16" s="2">
        <v>542.77777777777806</v>
      </c>
      <c r="I16" s="2">
        <v>287.66666666666669</v>
      </c>
      <c r="J16" s="2">
        <v>262.30769230769198</v>
      </c>
      <c r="K16" s="2">
        <v>309</v>
      </c>
      <c r="L16" s="2">
        <v>301.30434782608694</v>
      </c>
      <c r="M16" s="2">
        <v>313.125</v>
      </c>
      <c r="N16" s="2">
        <v>1278.46665445964</v>
      </c>
      <c r="O16" s="2">
        <v>1245.5555555555557</v>
      </c>
      <c r="P16" s="2">
        <v>1192.2007598876953</v>
      </c>
      <c r="Q16" s="2">
        <v>990.08749389648005</v>
      </c>
      <c r="R16" s="2">
        <v>871.88772705078122</v>
      </c>
      <c r="S16" s="2">
        <v>780.28090598366475</v>
      </c>
      <c r="T16" s="2">
        <v>797.78947368421052</v>
      </c>
      <c r="U16" s="2">
        <v>765</v>
      </c>
      <c r="V16" s="2">
        <v>705.75</v>
      </c>
      <c r="W16" s="2">
        <v>713.125</v>
      </c>
      <c r="X16" s="2">
        <v>688.21</v>
      </c>
      <c r="Y16" s="2">
        <v>673.87218045112797</v>
      </c>
      <c r="Z16" s="2">
        <v>1533.4083333333299</v>
      </c>
      <c r="AA16" s="2">
        <v>1500</v>
      </c>
      <c r="AB16" s="2">
        <v>1500</v>
      </c>
      <c r="AC16" s="2">
        <v>1433.3333333333301</v>
      </c>
    </row>
    <row r="17" spans="1:29" x14ac:dyDescent="0.25">
      <c r="A17" t="s">
        <v>32</v>
      </c>
      <c r="B17" s="2">
        <v>703</v>
      </c>
      <c r="C17" s="2">
        <v>625.125</v>
      </c>
      <c r="D17" s="2">
        <v>658.33333333333337</v>
      </c>
      <c r="E17" s="2">
        <v>630</v>
      </c>
      <c r="F17" s="2">
        <v>633.5</v>
      </c>
      <c r="G17" s="2">
        <v>642.22222222222217</v>
      </c>
      <c r="H17" s="2">
        <v>560.83333333333303</v>
      </c>
      <c r="I17" s="2">
        <v>299.77272727272702</v>
      </c>
      <c r="J17" s="2">
        <v>273.33333333333297</v>
      </c>
      <c r="K17" s="2">
        <v>302</v>
      </c>
      <c r="L17" s="2">
        <v>249</v>
      </c>
      <c r="M17" s="2">
        <v>220</v>
      </c>
      <c r="N17" s="2">
        <v>1176.125</v>
      </c>
      <c r="O17" s="2">
        <v>1232.8</v>
      </c>
      <c r="P17" s="2">
        <v>1232.8</v>
      </c>
      <c r="Q17" s="2">
        <v>990</v>
      </c>
      <c r="R17" s="2">
        <v>925</v>
      </c>
      <c r="S17" s="2">
        <v>809.15</v>
      </c>
      <c r="T17" s="2">
        <v>727.14285714285711</v>
      </c>
      <c r="U17" s="2">
        <v>766.53750610351563</v>
      </c>
      <c r="V17" s="2">
        <v>717</v>
      </c>
      <c r="W17" s="2">
        <v>719.33333333333303</v>
      </c>
      <c r="X17" s="2">
        <v>710</v>
      </c>
      <c r="Y17" s="2">
        <v>703</v>
      </c>
      <c r="Z17" s="2">
        <v>1060.926125</v>
      </c>
      <c r="AA17" s="2">
        <v>1155.4083333333299</v>
      </c>
      <c r="AB17" s="2">
        <v>1093.3333333333301</v>
      </c>
      <c r="AC17" s="2">
        <v>1090</v>
      </c>
    </row>
    <row r="18" spans="1:29" x14ac:dyDescent="0.25">
      <c r="A18" t="s">
        <v>46</v>
      </c>
      <c r="B18" s="2">
        <v>683.68421052631584</v>
      </c>
      <c r="C18" s="2">
        <v>633.17647058823525</v>
      </c>
      <c r="D18" s="2">
        <v>618.57142857142856</v>
      </c>
      <c r="E18" s="2">
        <v>621.25</v>
      </c>
      <c r="F18" s="2">
        <v>623.38461538461536</v>
      </c>
      <c r="G18" s="2">
        <v>615.73684210526312</v>
      </c>
      <c r="H18" s="2">
        <v>546.42857142857099</v>
      </c>
      <c r="I18" s="2">
        <v>300</v>
      </c>
      <c r="J18" s="2">
        <v>295.44</v>
      </c>
      <c r="K18" s="2">
        <v>332.66666666666669</v>
      </c>
      <c r="L18" s="2">
        <v>316.47058823529414</v>
      </c>
      <c r="M18" s="2">
        <v>332.14285714285717</v>
      </c>
      <c r="N18" s="2">
        <v>1198.8891015624999</v>
      </c>
      <c r="O18" s="2">
        <v>1224.0760869565217</v>
      </c>
      <c r="P18" s="2">
        <v>1237.4782608695652</v>
      </c>
      <c r="Q18" s="2">
        <v>1002.69090964577</v>
      </c>
      <c r="R18" s="2">
        <v>891.92726828835225</v>
      </c>
      <c r="S18" s="2">
        <v>793.40769136868994</v>
      </c>
      <c r="T18" s="2">
        <v>796.15384615384619</v>
      </c>
      <c r="U18" s="2">
        <v>759.09090909090912</v>
      </c>
      <c r="V18" s="2">
        <v>712.77777777777783</v>
      </c>
      <c r="W18" s="2">
        <v>725.555555555556</v>
      </c>
      <c r="X18" s="2">
        <v>705.51254545454594</v>
      </c>
      <c r="Y18" s="2">
        <v>687</v>
      </c>
      <c r="Z18" s="2">
        <v>1588.4985714285699</v>
      </c>
      <c r="AA18" s="2">
        <v>1524.15</v>
      </c>
      <c r="AB18" s="2">
        <v>1500</v>
      </c>
      <c r="AC18" s="2">
        <v>1466.6666666666699</v>
      </c>
    </row>
    <row r="19" spans="1:29" x14ac:dyDescent="0.25">
      <c r="A19" t="s">
        <v>43</v>
      </c>
      <c r="B19" s="2">
        <v>682</v>
      </c>
      <c r="C19" s="2">
        <v>677.66666666666663</v>
      </c>
      <c r="D19" s="2">
        <v>627.5</v>
      </c>
      <c r="E19" s="2">
        <v>617.41666666666663</v>
      </c>
      <c r="F19" s="2">
        <v>619</v>
      </c>
      <c r="G19" s="2">
        <v>625.79999999999995</v>
      </c>
      <c r="H19" s="2">
        <v>556.66666666666697</v>
      </c>
      <c r="I19" s="2">
        <v>297.5</v>
      </c>
      <c r="J19" s="2">
        <v>247.2</v>
      </c>
      <c r="K19" s="2">
        <v>316.66666666666703</v>
      </c>
      <c r="L19" s="2">
        <v>329.16666666666669</v>
      </c>
      <c r="M19" s="2">
        <v>281.42857142857144</v>
      </c>
      <c r="N19" s="2">
        <v>1258.4615384615399</v>
      </c>
      <c r="O19" s="2">
        <v>1308.5714285714287</v>
      </c>
      <c r="P19" s="2">
        <v>1288.1818181818182</v>
      </c>
      <c r="Q19" s="2">
        <v>1063.3333333333301</v>
      </c>
      <c r="R19" s="2">
        <v>902.66666666666663</v>
      </c>
      <c r="S19" s="2">
        <v>903.07692307692002</v>
      </c>
      <c r="T19" s="2">
        <v>847</v>
      </c>
      <c r="U19" s="2">
        <v>937.5</v>
      </c>
      <c r="V19" s="2">
        <v>711.53846153846155</v>
      </c>
      <c r="W19" s="2">
        <v>708.33333333333303</v>
      </c>
      <c r="X19" s="2">
        <v>696.42857142857099</v>
      </c>
      <c r="Y19" s="2">
        <v>679.66666666666697</v>
      </c>
      <c r="Z19" s="2">
        <v>1567.8425849999999</v>
      </c>
      <c r="AA19" s="2">
        <v>1700</v>
      </c>
      <c r="AB19" s="2">
        <v>1730</v>
      </c>
      <c r="AC19" s="2">
        <v>1530</v>
      </c>
    </row>
    <row r="20" spans="1:29" x14ac:dyDescent="0.25">
      <c r="A20" t="s">
        <v>10</v>
      </c>
      <c r="B20" s="2">
        <v>673.66666666666663</v>
      </c>
      <c r="C20" s="2">
        <v>620.29411764705878</v>
      </c>
      <c r="D20" s="2">
        <v>642.85714285714289</v>
      </c>
      <c r="E20" s="2">
        <v>620.4</v>
      </c>
      <c r="F20" s="2">
        <v>622.47058823529414</v>
      </c>
      <c r="G20" s="2">
        <v>626.75</v>
      </c>
      <c r="H20" s="2">
        <v>549.52941176470597</v>
      </c>
      <c r="I20" s="2">
        <v>280</v>
      </c>
      <c r="J20" s="2">
        <v>195</v>
      </c>
      <c r="K20" s="2">
        <v>288.92857142857144</v>
      </c>
      <c r="L20" s="2">
        <v>305.66666666666703</v>
      </c>
      <c r="M20" s="2">
        <v>281.07142857142856</v>
      </c>
      <c r="N20" s="2">
        <v>1161.2</v>
      </c>
      <c r="O20" s="2">
        <v>1193.75</v>
      </c>
      <c r="P20" s="2">
        <v>1163.7</v>
      </c>
      <c r="Q20" s="2">
        <v>1074.61538461538</v>
      </c>
      <c r="R20" s="2">
        <v>887.05555555555554</v>
      </c>
      <c r="S20" s="2">
        <v>763</v>
      </c>
      <c r="T20" s="2">
        <v>709.58333333333337</v>
      </c>
      <c r="U20" s="2">
        <v>815.9375</v>
      </c>
      <c r="V20" s="2">
        <v>699.64285714285711</v>
      </c>
      <c r="W20" s="2">
        <v>683.92857142857099</v>
      </c>
      <c r="X20" s="2">
        <v>678.41666666666697</v>
      </c>
      <c r="Y20" s="2">
        <v>640</v>
      </c>
      <c r="Z20" s="2">
        <v>1395.0443600000001</v>
      </c>
      <c r="AA20" s="2">
        <v>1650</v>
      </c>
      <c r="AB20" s="2">
        <v>1660</v>
      </c>
      <c r="AC20" s="2">
        <v>1638.3333333333301</v>
      </c>
    </row>
    <row r="21" spans="1:29" x14ac:dyDescent="0.25">
      <c r="A21" t="s">
        <v>36</v>
      </c>
      <c r="B21" s="2">
        <v>602.77777777777783</v>
      </c>
      <c r="C21" s="2">
        <v>668.63636363636363</v>
      </c>
      <c r="D21" s="2">
        <v>642.72727272727275</v>
      </c>
      <c r="E21" s="2">
        <v>625</v>
      </c>
      <c r="F21" s="2">
        <v>627</v>
      </c>
      <c r="G21" s="2">
        <v>621.5454545454545</v>
      </c>
      <c r="H21" s="2">
        <v>561.81818181818198</v>
      </c>
      <c r="I21" s="2">
        <v>229.31578947368422</v>
      </c>
      <c r="J21" s="2">
        <v>267.72727272727298</v>
      </c>
      <c r="K21" s="2">
        <v>290.41666666666669</v>
      </c>
      <c r="L21" s="2">
        <v>275.5</v>
      </c>
      <c r="M21" s="2">
        <v>286.36363636363637</v>
      </c>
      <c r="N21" s="2">
        <v>1152.1428571428601</v>
      </c>
      <c r="O21" s="2">
        <v>1152.8571428571429</v>
      </c>
      <c r="P21" s="2">
        <v>1170.8333333333333</v>
      </c>
      <c r="Q21" s="2">
        <v>1051.2</v>
      </c>
      <c r="R21" s="2">
        <v>881.42857142857144</v>
      </c>
      <c r="S21" s="2">
        <v>755.35714285714289</v>
      </c>
      <c r="T21" s="2">
        <v>715.4545454545455</v>
      </c>
      <c r="U21" s="2">
        <v>792.85714285714289</v>
      </c>
      <c r="V21" s="2">
        <v>700</v>
      </c>
      <c r="W21" s="2">
        <v>685.71428571428601</v>
      </c>
      <c r="X21" s="2">
        <v>675</v>
      </c>
      <c r="Y21" s="2">
        <v>678.26666666666699</v>
      </c>
      <c r="Z21" s="2">
        <v>1283.6950192307693</v>
      </c>
      <c r="AA21" s="2">
        <v>1530.5587499999999</v>
      </c>
      <c r="AB21" s="2">
        <v>1587.5</v>
      </c>
      <c r="AC21" s="2">
        <v>1541.6666666666699</v>
      </c>
    </row>
    <row r="22" spans="1:29" x14ac:dyDescent="0.25">
      <c r="A22" t="s">
        <v>42</v>
      </c>
      <c r="B22" s="2">
        <v>665</v>
      </c>
      <c r="C22" s="2">
        <v>667.14285714285711</v>
      </c>
      <c r="D22" s="2">
        <v>639.81818181818187</v>
      </c>
      <c r="E22" s="2">
        <v>626.75</v>
      </c>
      <c r="F22" s="2">
        <v>619.1</v>
      </c>
      <c r="G22" s="2">
        <v>604.5454545454545</v>
      </c>
      <c r="H22" s="2">
        <v>546.66666666666697</v>
      </c>
      <c r="I22" s="2">
        <v>254.28571428571399</v>
      </c>
      <c r="J22" s="2">
        <v>284.28571428571399</v>
      </c>
      <c r="K22" s="2">
        <v>306.25</v>
      </c>
      <c r="L22" s="2">
        <v>280.375</v>
      </c>
      <c r="M22" s="2">
        <v>246.11111111111111</v>
      </c>
      <c r="N22" s="2">
        <v>1187.5</v>
      </c>
      <c r="O22" s="2">
        <v>1121.25</v>
      </c>
      <c r="P22" s="2">
        <v>1100</v>
      </c>
      <c r="Q22" s="2">
        <v>1096.1538461538462</v>
      </c>
      <c r="R22" s="2">
        <v>781.25</v>
      </c>
      <c r="S22" s="2">
        <v>950</v>
      </c>
      <c r="T22" s="2">
        <v>742.5</v>
      </c>
      <c r="U22" s="2">
        <v>782.22222222222194</v>
      </c>
      <c r="V22" s="2">
        <v>697.72727272727275</v>
      </c>
      <c r="W22" s="2">
        <v>694.16666666666697</v>
      </c>
      <c r="X22" s="2">
        <v>680</v>
      </c>
      <c r="Y22" s="2">
        <v>680.4</v>
      </c>
      <c r="Z22" s="2">
        <v>1111.9375</v>
      </c>
      <c r="AA22" s="2">
        <v>1474.4213889564501</v>
      </c>
      <c r="AB22" s="2">
        <v>1436.1111111666701</v>
      </c>
      <c r="AC22" s="2">
        <v>1469.4444444999999</v>
      </c>
    </row>
    <row r="23" spans="1:29" x14ac:dyDescent="0.25">
      <c r="A23" t="s">
        <v>44</v>
      </c>
      <c r="B23" s="2">
        <v>715.625</v>
      </c>
      <c r="C23" s="2">
        <v>691</v>
      </c>
      <c r="D23" s="2">
        <v>628.33333333333337</v>
      </c>
      <c r="E23" s="2">
        <v>625.11111111111097</v>
      </c>
      <c r="F23" s="2">
        <v>621.875</v>
      </c>
      <c r="G23" s="2">
        <v>628.75</v>
      </c>
      <c r="H23" s="2">
        <v>545.555555555556</v>
      </c>
      <c r="I23" s="2">
        <v>286.39999999999998</v>
      </c>
      <c r="J23" s="2">
        <v>271.81818181818198</v>
      </c>
      <c r="K23" s="2">
        <v>261.16666666666669</v>
      </c>
      <c r="L23" s="2">
        <v>278.18181818181802</v>
      </c>
      <c r="M23" s="2">
        <v>270.875</v>
      </c>
      <c r="N23" s="2">
        <v>1194</v>
      </c>
      <c r="O23" s="2">
        <v>1186.25</v>
      </c>
      <c r="P23" s="2">
        <v>1189.25</v>
      </c>
      <c r="Q23" s="2">
        <v>986.66666666666663</v>
      </c>
      <c r="R23" s="2">
        <v>808.66666666666663</v>
      </c>
      <c r="S23" s="2">
        <v>822.14285714285711</v>
      </c>
      <c r="T23" s="2">
        <v>742.30769230769226</v>
      </c>
      <c r="U23" s="2">
        <v>880</v>
      </c>
      <c r="V23" s="2">
        <v>722.85714285714289</v>
      </c>
      <c r="W23" s="2">
        <v>727.2</v>
      </c>
      <c r="X23" s="2">
        <v>746.66666666666697</v>
      </c>
      <c r="Y23" s="2">
        <v>796.66666666666697</v>
      </c>
      <c r="Z23" s="2">
        <v>1148.9099475</v>
      </c>
      <c r="AA23" s="2">
        <v>1125.549</v>
      </c>
      <c r="AB23" s="2">
        <v>1090</v>
      </c>
      <c r="AC23" s="2">
        <v>1090</v>
      </c>
    </row>
    <row r="24" spans="1:29" x14ac:dyDescent="0.25">
      <c r="A24" t="s">
        <v>24</v>
      </c>
      <c r="B24" s="2">
        <v>660.90909090909088</v>
      </c>
      <c r="C24" s="2">
        <v>649.16666666666663</v>
      </c>
      <c r="D24" s="2">
        <v>640</v>
      </c>
      <c r="E24" s="2">
        <v>629.444444444444</v>
      </c>
      <c r="F24" s="2">
        <v>632.11111111111109</v>
      </c>
      <c r="G24" s="2">
        <v>549.09090909090912</v>
      </c>
      <c r="H24" s="2">
        <v>550.83333333333303</v>
      </c>
      <c r="I24" s="2">
        <v>220.38461538461539</v>
      </c>
      <c r="J24" s="2">
        <v>291.42857142857099</v>
      </c>
      <c r="K24" s="2">
        <v>210</v>
      </c>
      <c r="L24" s="2">
        <v>236.53846153846155</v>
      </c>
      <c r="M24" s="2">
        <v>236.53846153846155</v>
      </c>
      <c r="N24" s="2">
        <v>1188.1818181818201</v>
      </c>
      <c r="O24" s="2">
        <v>1249.9791666666667</v>
      </c>
      <c r="P24" s="2">
        <v>1193.1373948317307</v>
      </c>
      <c r="Q24" s="2">
        <v>1063.0907881887331</v>
      </c>
      <c r="R24" s="2">
        <v>842.80555555555554</v>
      </c>
      <c r="S24" s="2">
        <v>751.42941463694854</v>
      </c>
      <c r="T24" s="2">
        <v>789.47368421052636</v>
      </c>
      <c r="U24" s="2">
        <v>697.6646412037037</v>
      </c>
      <c r="V24" s="2">
        <v>797.77777777777783</v>
      </c>
      <c r="W24" s="2">
        <v>690.59375</v>
      </c>
      <c r="X24" s="2">
        <v>675.5</v>
      </c>
      <c r="Y24" s="2">
        <v>626.78703703703695</v>
      </c>
      <c r="Z24" s="2">
        <v>1258</v>
      </c>
      <c r="AA24" s="2">
        <v>1298.93928571429</v>
      </c>
      <c r="AB24" s="2">
        <v>1221.42857142857</v>
      </c>
      <c r="AC24" s="2">
        <v>1114.2857142857099</v>
      </c>
    </row>
    <row r="25" spans="1:29" x14ac:dyDescent="0.25">
      <c r="A25" t="s">
        <v>26</v>
      </c>
      <c r="B25" s="2">
        <v>650.625</v>
      </c>
      <c r="C25" s="2">
        <v>642.5</v>
      </c>
      <c r="D25" s="2">
        <v>624.28571428571433</v>
      </c>
      <c r="E25" s="2">
        <v>618.54999999999995</v>
      </c>
      <c r="F25" s="2">
        <v>618</v>
      </c>
      <c r="G25" s="2">
        <v>535.44444444444446</v>
      </c>
      <c r="H25" s="2">
        <v>540</v>
      </c>
      <c r="I25" s="2">
        <v>212.5</v>
      </c>
      <c r="J25" s="2">
        <v>297.64705882352899</v>
      </c>
      <c r="K25" s="2">
        <v>215</v>
      </c>
      <c r="L25" s="2">
        <v>265.41666666666669</v>
      </c>
      <c r="M25" s="2">
        <v>229.375</v>
      </c>
      <c r="N25" s="2">
        <v>1133.0769230769199</v>
      </c>
      <c r="O25" s="2">
        <v>1173.0615234375</v>
      </c>
      <c r="P25" s="2">
        <v>1162.4615384615386</v>
      </c>
      <c r="Q25" s="2">
        <v>1045.4375</v>
      </c>
      <c r="R25" s="2">
        <v>747.5</v>
      </c>
      <c r="S25" s="2">
        <v>650</v>
      </c>
      <c r="T25" s="2">
        <v>650</v>
      </c>
      <c r="U25" s="2">
        <v>645.14566949254447</v>
      </c>
      <c r="V25" s="2">
        <v>650</v>
      </c>
      <c r="W25" s="2">
        <v>665.68181818181802</v>
      </c>
      <c r="X25" s="2">
        <v>650</v>
      </c>
      <c r="Y25" s="2">
        <v>614.90085978835998</v>
      </c>
      <c r="Z25" s="2">
        <v>1014.85075075</v>
      </c>
      <c r="AA25" s="2">
        <v>1106.143</v>
      </c>
      <c r="AB25" s="2">
        <v>1070</v>
      </c>
      <c r="AC25" s="2">
        <v>1171.9968550000001</v>
      </c>
    </row>
    <row r="26" spans="1:29" x14ac:dyDescent="0.25">
      <c r="A26" t="s">
        <v>28</v>
      </c>
      <c r="B26" s="2">
        <v>612.72222222222217</v>
      </c>
      <c r="C26" s="2">
        <v>623.11764705882354</v>
      </c>
      <c r="D26" s="2">
        <v>590.95000000000005</v>
      </c>
      <c r="E26" s="2">
        <v>624.88888888890006</v>
      </c>
      <c r="F26" s="2">
        <v>620.6875</v>
      </c>
      <c r="G26" s="2">
        <v>615.1</v>
      </c>
      <c r="H26" s="2">
        <v>538.13333333333298</v>
      </c>
      <c r="I26" s="2">
        <v>213.88888888888889</v>
      </c>
      <c r="J26" s="2">
        <v>310.55</v>
      </c>
      <c r="K26" s="2">
        <v>212.75</v>
      </c>
      <c r="L26" s="2">
        <v>305.625</v>
      </c>
      <c r="M26" s="2">
        <v>245.42857142857142</v>
      </c>
      <c r="N26" s="2">
        <v>1106.3333333333301</v>
      </c>
      <c r="O26" s="2">
        <v>1092.7894736842106</v>
      </c>
      <c r="P26" s="2">
        <v>1080.952380952381</v>
      </c>
      <c r="Q26" s="2">
        <v>1000.4761904761905</v>
      </c>
      <c r="R26" s="2">
        <v>765.29411764705878</v>
      </c>
      <c r="S26" s="2">
        <v>693.82352941176475</v>
      </c>
      <c r="T26" s="2">
        <v>626.94117647058829</v>
      </c>
      <c r="U26" s="2">
        <v>636.79999999999995</v>
      </c>
      <c r="V26" s="2">
        <v>602.54999999999995</v>
      </c>
      <c r="W26" s="2">
        <v>630.75</v>
      </c>
      <c r="X26" s="2">
        <v>654.23076923076906</v>
      </c>
      <c r="Y26" s="2">
        <v>663.04953560371496</v>
      </c>
      <c r="Z26" s="2">
        <v>1064.5762</v>
      </c>
      <c r="AA26" s="2">
        <v>975</v>
      </c>
      <c r="AB26" s="2">
        <v>975.555555555556</v>
      </c>
      <c r="AC26" s="2">
        <v>1122.2222222222199</v>
      </c>
    </row>
    <row r="27" spans="1:29" x14ac:dyDescent="0.25">
      <c r="A27" t="s">
        <v>14</v>
      </c>
      <c r="B27" s="2">
        <v>661.42857142857144</v>
      </c>
      <c r="C27" s="2">
        <v>650</v>
      </c>
      <c r="D27" s="2">
        <v>640.16666666666697</v>
      </c>
      <c r="E27" s="2">
        <v>639.75</v>
      </c>
      <c r="F27" s="2">
        <v>641</v>
      </c>
      <c r="G27" s="2">
        <v>543.57142857142856</v>
      </c>
      <c r="H27" s="2">
        <v>540.58333333333303</v>
      </c>
      <c r="I27" s="2">
        <v>220</v>
      </c>
      <c r="J27" s="2">
        <v>295.875</v>
      </c>
      <c r="K27" s="2">
        <v>197.5</v>
      </c>
      <c r="L27" s="2">
        <v>205.916666666667</v>
      </c>
      <c r="M27" s="2">
        <v>217.5</v>
      </c>
      <c r="N27" s="2">
        <v>1157.1428571428601</v>
      </c>
      <c r="O27" s="2">
        <v>1181.8863636363637</v>
      </c>
      <c r="P27" s="2">
        <v>1063.6842105263158</v>
      </c>
      <c r="Q27" s="2">
        <v>1016.1875</v>
      </c>
      <c r="R27" s="2">
        <v>876.07692307692309</v>
      </c>
      <c r="S27" s="2">
        <v>781.96214512416293</v>
      </c>
      <c r="T27" s="2">
        <v>773.07692307692309</v>
      </c>
      <c r="U27" s="2">
        <v>659.44444444444446</v>
      </c>
      <c r="V27" s="2">
        <v>778.88888888888891</v>
      </c>
      <c r="W27" s="2">
        <v>700.32142857142901</v>
      </c>
      <c r="X27" s="2">
        <v>655</v>
      </c>
      <c r="Y27" s="2">
        <v>629.319444444444</v>
      </c>
      <c r="Z27" s="2">
        <v>1293.8995671</v>
      </c>
      <c r="AA27" s="2">
        <v>1238.21246722192</v>
      </c>
      <c r="AB27" s="2">
        <v>1285.5413192000001</v>
      </c>
      <c r="AC27" s="2">
        <v>1302.2578149999999</v>
      </c>
    </row>
    <row r="28" spans="1:29" x14ac:dyDescent="0.25">
      <c r="A28" t="s">
        <v>15</v>
      </c>
      <c r="B28" s="2">
        <v>659.375</v>
      </c>
      <c r="C28" s="2">
        <v>639.20000000000005</v>
      </c>
      <c r="D28" s="2">
        <v>637</v>
      </c>
      <c r="E28" s="2">
        <v>632</v>
      </c>
      <c r="F28" s="2">
        <v>634.55555555555554</v>
      </c>
      <c r="G28" s="2">
        <v>542.1</v>
      </c>
      <c r="H28" s="2">
        <v>545.555555555556</v>
      </c>
      <c r="I28" s="2">
        <v>201.81818181818181</v>
      </c>
      <c r="J28" s="2">
        <v>282.5</v>
      </c>
      <c r="K28" s="2">
        <v>198.5</v>
      </c>
      <c r="L28" s="2">
        <v>198.5</v>
      </c>
      <c r="M28" s="2">
        <v>213</v>
      </c>
      <c r="N28" s="2">
        <v>1176.07142857143</v>
      </c>
      <c r="O28" s="2">
        <v>1173.1839036207932</v>
      </c>
      <c r="P28" s="2">
        <v>1088.0721153846155</v>
      </c>
      <c r="Q28" s="2">
        <v>993.88571602957563</v>
      </c>
      <c r="R28" s="2">
        <v>792.42857142857144</v>
      </c>
      <c r="S28" s="2">
        <v>745.51999918619788</v>
      </c>
      <c r="T28" s="2">
        <v>704.4666666666667</v>
      </c>
      <c r="U28" s="2">
        <v>642.16056801994307</v>
      </c>
      <c r="V28" s="2">
        <v>633.75</v>
      </c>
      <c r="W28" s="2">
        <v>657.15384615384596</v>
      </c>
      <c r="X28" s="2">
        <v>653.70000000000005</v>
      </c>
      <c r="Y28" s="2">
        <v>624.03842592592605</v>
      </c>
      <c r="Z28" s="2">
        <v>1309.5400190375001</v>
      </c>
      <c r="AA28" s="2">
        <v>1309</v>
      </c>
      <c r="AB28" s="2">
        <v>1386.6862149999999</v>
      </c>
      <c r="AC28" s="2">
        <v>1386.6862149999999</v>
      </c>
    </row>
    <row r="29" spans="1:29" x14ac:dyDescent="0.25">
      <c r="A29" t="s">
        <v>27</v>
      </c>
      <c r="B29" s="2">
        <v>776.53846153845996</v>
      </c>
      <c r="C29" s="2">
        <v>631.33333333333337</v>
      </c>
      <c r="D29" s="2">
        <v>640.4545454545455</v>
      </c>
      <c r="E29" s="2">
        <v>625.84210526315792</v>
      </c>
      <c r="F29" s="2">
        <v>623.06666666666672</v>
      </c>
      <c r="G29" s="2">
        <v>618.45833333333337</v>
      </c>
      <c r="H29" s="2">
        <v>540.90909090909099</v>
      </c>
      <c r="I29" s="2">
        <v>212.69230769230768</v>
      </c>
      <c r="J29" s="2">
        <v>267.222222222222</v>
      </c>
      <c r="K29" s="2">
        <v>241.9</v>
      </c>
      <c r="L29" s="2">
        <v>280.57142857142901</v>
      </c>
      <c r="M29" s="2">
        <v>238.14814814814815</v>
      </c>
      <c r="N29" s="2">
        <v>1106.06666666667</v>
      </c>
      <c r="O29" s="2">
        <v>1154.7368421052631</v>
      </c>
      <c r="P29" s="2">
        <v>1161.1111111111111</v>
      </c>
      <c r="Q29" s="2">
        <v>1016.9230769230769</v>
      </c>
      <c r="R29" s="2">
        <v>865.88235294117646</v>
      </c>
      <c r="S29" s="2">
        <v>742.22222222222217</v>
      </c>
      <c r="T29" s="2">
        <v>670.625</v>
      </c>
      <c r="U29" s="2">
        <v>730</v>
      </c>
      <c r="V29" s="2">
        <v>647.14285714285711</v>
      </c>
      <c r="W29" s="2">
        <v>651.25</v>
      </c>
      <c r="X29" s="2">
        <v>650.83333333333303</v>
      </c>
      <c r="Y29" s="2">
        <v>653.10526315789502</v>
      </c>
      <c r="Z29" s="2">
        <v>1166.2384999999999</v>
      </c>
      <c r="AA29" s="2">
        <v>1143.7905000000001</v>
      </c>
      <c r="AB29" s="2">
        <v>1105</v>
      </c>
      <c r="AC29" s="2">
        <v>1141.6666666666699</v>
      </c>
    </row>
    <row r="30" spans="1:29" x14ac:dyDescent="0.25">
      <c r="A30" t="s">
        <v>38</v>
      </c>
      <c r="B30" s="2">
        <v>644.0625</v>
      </c>
      <c r="C30" s="2">
        <v>650.58823529411768</v>
      </c>
      <c r="D30" s="2">
        <v>614.47058823529414</v>
      </c>
      <c r="E30" s="2">
        <v>620.142857142857</v>
      </c>
      <c r="F30" s="2">
        <v>624.4</v>
      </c>
      <c r="G30" s="2">
        <v>619.65</v>
      </c>
      <c r="H30" s="2">
        <v>540.20000000000005</v>
      </c>
      <c r="I30" s="2">
        <v>232.75</v>
      </c>
      <c r="J30" s="2">
        <v>241.666666666667</v>
      </c>
      <c r="K30" s="2">
        <v>241.33333333333334</v>
      </c>
      <c r="L30" s="2">
        <v>286.875</v>
      </c>
      <c r="M30" s="2">
        <v>249.44444444444446</v>
      </c>
      <c r="N30" s="2">
        <v>1137.7777777777801</v>
      </c>
      <c r="O30" s="2">
        <v>1155.5555555555557</v>
      </c>
      <c r="P30" s="2">
        <v>1172.8571428571429</v>
      </c>
      <c r="Q30" s="2">
        <v>1006.66666666667</v>
      </c>
      <c r="R30" s="2">
        <v>846.66666666666663</v>
      </c>
      <c r="S30" s="2">
        <v>776.92307692307691</v>
      </c>
      <c r="T30" s="2">
        <v>747.85714285714289</v>
      </c>
      <c r="U30" s="2">
        <v>882.66666666666663</v>
      </c>
      <c r="V30" s="2">
        <v>671.25</v>
      </c>
      <c r="W30" s="2">
        <v>663.84615384615404</v>
      </c>
      <c r="X30" s="2">
        <v>666.25</v>
      </c>
      <c r="Y30" s="2">
        <v>653.01857585139305</v>
      </c>
      <c r="Z30" s="2">
        <v>1148.4227133333334</v>
      </c>
      <c r="AA30" s="2">
        <v>1099.6581629</v>
      </c>
      <c r="AB30" s="2">
        <v>1005.5571429</v>
      </c>
      <c r="AC30" s="2">
        <v>1141.7</v>
      </c>
    </row>
    <row r="31" spans="1:29" x14ac:dyDescent="0.25">
      <c r="A31" t="s">
        <v>35</v>
      </c>
      <c r="B31" s="2">
        <v>641.53846153846155</v>
      </c>
      <c r="C31" s="2">
        <v>644.16666666666663</v>
      </c>
      <c r="D31" s="2">
        <v>649.23076923076928</v>
      </c>
      <c r="E31" s="2">
        <v>627.07692307692298</v>
      </c>
      <c r="F31" s="2">
        <v>636</v>
      </c>
      <c r="G31" s="2">
        <v>610.4545454545455</v>
      </c>
      <c r="H31" s="2">
        <v>540.13333333333298</v>
      </c>
      <c r="I31" s="2">
        <v>226.18181818181819</v>
      </c>
      <c r="J31" s="2">
        <v>251.875</v>
      </c>
      <c r="K31" s="2">
        <v>248</v>
      </c>
      <c r="L31" s="2">
        <v>302.5</v>
      </c>
      <c r="M31" s="2">
        <v>262.125</v>
      </c>
      <c r="N31" s="2">
        <v>1137.0588235294099</v>
      </c>
      <c r="O31" s="2">
        <v>1171.875</v>
      </c>
      <c r="P31" s="2">
        <v>1176.3157894736842</v>
      </c>
      <c r="Q31" s="2">
        <v>1009.375</v>
      </c>
      <c r="R31" s="2">
        <v>856.15384615384619</v>
      </c>
      <c r="S31" s="2">
        <v>842.14285714285711</v>
      </c>
      <c r="T31" s="2">
        <v>689.23076923076928</v>
      </c>
      <c r="U31" s="2">
        <v>790.35714285714289</v>
      </c>
      <c r="V31" s="2">
        <v>691</v>
      </c>
      <c r="W31" s="2">
        <v>672.142857142857</v>
      </c>
      <c r="X31" s="2">
        <v>664.54545454545496</v>
      </c>
      <c r="Y31" s="2">
        <v>658.77192982456097</v>
      </c>
      <c r="Z31" s="2">
        <v>1042.4926666666699</v>
      </c>
      <c r="AA31" s="2">
        <v>980</v>
      </c>
      <c r="AB31" s="2">
        <v>972.5</v>
      </c>
      <c r="AC31" s="2">
        <v>950</v>
      </c>
    </row>
    <row r="32" spans="1:29" x14ac:dyDescent="0.25">
      <c r="A32" t="s">
        <v>29</v>
      </c>
      <c r="B32" s="2">
        <v>626.5625</v>
      </c>
      <c r="C32" s="2">
        <v>628.35714285714289</v>
      </c>
      <c r="D32" s="2">
        <v>592.1875</v>
      </c>
      <c r="E32" s="2">
        <v>618.5</v>
      </c>
      <c r="F32" s="2">
        <v>621.79999999999995</v>
      </c>
      <c r="G32" s="2">
        <v>619.81818181818187</v>
      </c>
      <c r="H32" s="2">
        <v>537.42857142857099</v>
      </c>
      <c r="I32" s="2">
        <v>215.38461538461539</v>
      </c>
      <c r="J32" s="2">
        <v>282.222222222222</v>
      </c>
      <c r="K32" s="2">
        <v>225.33333333333334</v>
      </c>
      <c r="L32" s="2">
        <v>311.42857142857144</v>
      </c>
      <c r="M32" s="2">
        <v>252.29166666666666</v>
      </c>
      <c r="N32" s="2">
        <v>1088.75</v>
      </c>
      <c r="O32" s="2">
        <v>1166.3157894736842</v>
      </c>
      <c r="P32" s="2">
        <v>1188.75</v>
      </c>
      <c r="Q32" s="2">
        <v>1076.1111111111111</v>
      </c>
      <c r="R32" s="2">
        <v>865.625</v>
      </c>
      <c r="S32" s="2">
        <v>808.84615384615381</v>
      </c>
      <c r="T32" s="2">
        <v>696.66666666666663</v>
      </c>
      <c r="U32" s="2">
        <v>742.5</v>
      </c>
      <c r="V32" s="2">
        <v>660.33333333333337</v>
      </c>
      <c r="W32" s="2">
        <v>645.88235294117601</v>
      </c>
      <c r="X32" s="2">
        <v>652.35294117647095</v>
      </c>
      <c r="Y32" s="2">
        <v>662.53289473684197</v>
      </c>
      <c r="Z32" s="2">
        <v>1183.7945</v>
      </c>
      <c r="AA32" s="2">
        <v>982</v>
      </c>
      <c r="AB32" s="2">
        <v>956.66666666666697</v>
      </c>
      <c r="AC32" s="2">
        <v>1015</v>
      </c>
    </row>
    <row r="33" spans="1:29" x14ac:dyDescent="0.25">
      <c r="A33" t="s">
        <v>6</v>
      </c>
      <c r="B33" s="2">
        <v>649.25</v>
      </c>
      <c r="C33" s="2">
        <v>644.5</v>
      </c>
      <c r="D33" s="2">
        <v>627.57142857142856</v>
      </c>
      <c r="E33" s="2">
        <v>623.863333333333</v>
      </c>
      <c r="F33" s="2">
        <v>623.83333333333337</v>
      </c>
      <c r="G33" s="2">
        <v>537</v>
      </c>
      <c r="H33" s="2">
        <v>543</v>
      </c>
      <c r="I33" s="2">
        <v>203.33333333333334</v>
      </c>
      <c r="J33" s="2">
        <v>232.5</v>
      </c>
      <c r="K33" s="2">
        <v>196.78571428571428</v>
      </c>
      <c r="L33" s="2">
        <v>198.71428571428601</v>
      </c>
      <c r="M33" s="2">
        <v>192.14285714285714</v>
      </c>
      <c r="N33" s="2">
        <v>1260</v>
      </c>
      <c r="O33" s="2">
        <v>1227.5</v>
      </c>
      <c r="P33" s="2">
        <v>1171.25</v>
      </c>
      <c r="Q33" s="2">
        <v>1073.1818181818182</v>
      </c>
      <c r="R33" s="2">
        <v>876.15384615384619</v>
      </c>
      <c r="S33" s="2">
        <v>782.41666666666663</v>
      </c>
      <c r="T33" s="2">
        <v>719.72727272727275</v>
      </c>
      <c r="U33" s="2">
        <v>675.93028350103475</v>
      </c>
      <c r="V33" s="2">
        <v>685.28571428571433</v>
      </c>
      <c r="W33" s="2">
        <v>662.26875305175804</v>
      </c>
      <c r="X33" s="2">
        <v>686.16666666666697</v>
      </c>
      <c r="Y33" s="2">
        <v>670</v>
      </c>
      <c r="Z33" s="2">
        <v>1302.52382749048</v>
      </c>
      <c r="AA33" s="2">
        <v>1450.79818627383</v>
      </c>
      <c r="AB33" s="2">
        <v>1446.992215</v>
      </c>
      <c r="AC33" s="2">
        <v>1446.992215</v>
      </c>
    </row>
    <row r="34" spans="1:29" x14ac:dyDescent="0.25">
      <c r="A34" t="s">
        <v>21</v>
      </c>
      <c r="B34" s="2">
        <v>676.66666666666663</v>
      </c>
      <c r="C34" s="2">
        <v>663.88888888888891</v>
      </c>
      <c r="D34" s="2">
        <v>628.27272727272725</v>
      </c>
      <c r="E34" s="2">
        <v>602.5454545454545</v>
      </c>
      <c r="F34" s="2">
        <v>596.79999999999995</v>
      </c>
      <c r="G34" s="2">
        <v>607.66666666666663</v>
      </c>
      <c r="H34" s="2">
        <v>537.63636363636397</v>
      </c>
      <c r="I34" s="2">
        <v>250.416666666667</v>
      </c>
      <c r="J34" s="2">
        <v>207.71428571428601</v>
      </c>
      <c r="K34" s="2">
        <v>290.88888888888903</v>
      </c>
      <c r="L34" s="2">
        <v>323.33333333333297</v>
      </c>
      <c r="M34" s="2">
        <v>327.14285714285717</v>
      </c>
      <c r="N34" s="2">
        <v>1164.90625</v>
      </c>
      <c r="O34" s="2">
        <v>1257.7777777777778</v>
      </c>
      <c r="P34" s="2">
        <v>1154.27272727273</v>
      </c>
      <c r="Q34" s="2">
        <v>1045</v>
      </c>
      <c r="R34" s="2">
        <v>685.4545454545455</v>
      </c>
      <c r="S34" s="2">
        <v>684.5454545454545</v>
      </c>
      <c r="T34" s="2">
        <v>810</v>
      </c>
      <c r="U34" s="2">
        <v>782.72727272727275</v>
      </c>
      <c r="V34" s="2">
        <v>696</v>
      </c>
      <c r="W34" s="2">
        <v>710.90909090909099</v>
      </c>
      <c r="X34" s="2">
        <v>680</v>
      </c>
      <c r="Y34" s="2">
        <v>674.54545454545496</v>
      </c>
      <c r="Z34" s="2">
        <v>1263.9822222222222</v>
      </c>
      <c r="AA34" s="2">
        <v>1175.54422222222</v>
      </c>
      <c r="AB34" s="2">
        <v>1131.1111111111099</v>
      </c>
      <c r="AC34" s="2">
        <v>1308.8888888888901</v>
      </c>
    </row>
    <row r="35" spans="1:29" x14ac:dyDescent="0.25">
      <c r="A35" t="s">
        <v>4</v>
      </c>
      <c r="B35" s="2">
        <v>678.57142857142856</v>
      </c>
      <c r="C35" s="2">
        <v>641.42857142857144</v>
      </c>
      <c r="D35" s="2">
        <v>638.33333333333337</v>
      </c>
      <c r="E35" s="2">
        <v>628.28571428571399</v>
      </c>
      <c r="F35" s="2">
        <v>631.42857142857144</v>
      </c>
      <c r="G35" s="2">
        <v>621.14285714285711</v>
      </c>
      <c r="H35" s="2">
        <v>540</v>
      </c>
      <c r="I35" s="2">
        <v>203.666666666667</v>
      </c>
      <c r="J35" s="2">
        <v>227.69230769230799</v>
      </c>
      <c r="K35" s="2">
        <v>208.57142857142858</v>
      </c>
      <c r="L35" s="2">
        <v>200</v>
      </c>
      <c r="M35" s="2">
        <v>191.42857142857142</v>
      </c>
      <c r="N35" s="2">
        <v>1113.3333333333301</v>
      </c>
      <c r="O35" s="2">
        <v>1162.8571428571429</v>
      </c>
      <c r="P35" s="2">
        <v>1110</v>
      </c>
      <c r="Q35" s="2">
        <v>961.66666666666663</v>
      </c>
      <c r="R35" s="2">
        <v>855.71428571428567</v>
      </c>
      <c r="S35" s="2">
        <v>750</v>
      </c>
      <c r="T35" s="2">
        <v>723.33333333333337</v>
      </c>
      <c r="U35" s="2">
        <v>872.5</v>
      </c>
      <c r="V35" s="2">
        <v>713.33333333333337</v>
      </c>
      <c r="W35" s="2">
        <v>715</v>
      </c>
      <c r="X35" s="2">
        <v>681.42857142857099</v>
      </c>
      <c r="Y35" s="2">
        <v>664.8</v>
      </c>
      <c r="Z35" s="2">
        <v>1550</v>
      </c>
      <c r="AA35" s="2">
        <v>1550</v>
      </c>
      <c r="AB35" s="2">
        <v>1680</v>
      </c>
      <c r="AC35" s="2">
        <v>1330</v>
      </c>
    </row>
    <row r="36" spans="1:29" x14ac:dyDescent="0.25">
      <c r="A36" t="s">
        <v>37</v>
      </c>
      <c r="B36" s="2">
        <v>760</v>
      </c>
      <c r="C36" s="2">
        <v>618</v>
      </c>
      <c r="D36" s="2">
        <v>639</v>
      </c>
      <c r="E36" s="2">
        <v>665.55555555555554</v>
      </c>
      <c r="F36" s="2">
        <v>680</v>
      </c>
      <c r="G36" s="2">
        <v>610</v>
      </c>
      <c r="H36" s="2">
        <v>562.857142857143</v>
      </c>
      <c r="I36" s="2">
        <v>295</v>
      </c>
      <c r="J36" s="2">
        <v>231.0625</v>
      </c>
      <c r="K36" s="2">
        <v>330</v>
      </c>
      <c r="L36" s="2">
        <v>258.88888888888891</v>
      </c>
      <c r="M36" s="2">
        <v>258.88888888888891</v>
      </c>
      <c r="N36" s="2">
        <v>1307.0498718261699</v>
      </c>
      <c r="O36" s="2">
        <v>1256.3613558682528</v>
      </c>
      <c r="P36" s="2">
        <v>1243.901805530895</v>
      </c>
      <c r="Q36" s="2">
        <v>1027.44444444444</v>
      </c>
      <c r="R36" s="2">
        <v>899.67142740885413</v>
      </c>
      <c r="S36" s="2">
        <v>826.5454545454545</v>
      </c>
      <c r="T36" s="2">
        <v>751.88888888888891</v>
      </c>
      <c r="U36" s="2">
        <v>818.3749938964844</v>
      </c>
      <c r="V36" s="2">
        <v>751.88888888888891</v>
      </c>
      <c r="W36" s="2">
        <v>761.91863458806802</v>
      </c>
      <c r="X36" s="2">
        <v>710.56</v>
      </c>
      <c r="Y36" s="2">
        <v>704.11111111111097</v>
      </c>
      <c r="Z36" s="2">
        <v>1256.386</v>
      </c>
      <c r="AA36" s="2">
        <v>1353.95333333333</v>
      </c>
      <c r="AB36" s="2">
        <v>1366.6666666666699</v>
      </c>
      <c r="AC36" s="2">
        <v>1433.3333333333301</v>
      </c>
    </row>
    <row r="37" spans="1:29" x14ac:dyDescent="0.25">
      <c r="A37" t="s">
        <v>17</v>
      </c>
      <c r="B37" s="2">
        <v>692.18181818181813</v>
      </c>
      <c r="C37" s="2">
        <v>639.27272727272725</v>
      </c>
      <c r="D37" s="2">
        <v>644.61538461538464</v>
      </c>
      <c r="E37" s="2">
        <v>629.23076923076928</v>
      </c>
      <c r="F37" s="2">
        <v>628.88888888888891</v>
      </c>
      <c r="G37" s="2">
        <v>624.28571428571433</v>
      </c>
      <c r="H37" s="2">
        <v>562.30769230769204</v>
      </c>
      <c r="I37" s="2">
        <v>216.36363636363637</v>
      </c>
      <c r="J37" s="2">
        <v>231.666666666667</v>
      </c>
      <c r="K37" s="2">
        <v>202.5</v>
      </c>
      <c r="L37" s="2">
        <v>250</v>
      </c>
      <c r="M37" s="2">
        <v>215.28571428571428</v>
      </c>
      <c r="N37" s="2">
        <v>1225</v>
      </c>
      <c r="O37" s="2">
        <v>1222.7272727272727</v>
      </c>
      <c r="P37" s="2">
        <v>1180.0961538461538</v>
      </c>
      <c r="Q37" s="2">
        <v>939.375</v>
      </c>
      <c r="R37" s="2">
        <v>916</v>
      </c>
      <c r="S37" s="2">
        <v>800.88157894736844</v>
      </c>
      <c r="T37" s="2">
        <v>735</v>
      </c>
      <c r="U37" s="2">
        <v>784.625</v>
      </c>
      <c r="V37" s="2">
        <v>735</v>
      </c>
      <c r="W37" s="2">
        <v>749.08862859552596</v>
      </c>
      <c r="X37" s="2">
        <v>688.2</v>
      </c>
      <c r="Y37" s="2">
        <v>675.54545454545496</v>
      </c>
      <c r="Z37" s="2">
        <v>970</v>
      </c>
      <c r="AA37" s="2">
        <v>1114.1143750000001</v>
      </c>
      <c r="AB37" s="2">
        <v>1075</v>
      </c>
      <c r="AC37" s="2">
        <v>1112.5</v>
      </c>
    </row>
    <row r="38" spans="1:29" x14ac:dyDescent="0.25">
      <c r="A38" t="s">
        <v>30</v>
      </c>
      <c r="B38" s="2">
        <v>688.46153846153845</v>
      </c>
      <c r="C38" s="2">
        <v>648</v>
      </c>
      <c r="D38" s="2">
        <v>659.375</v>
      </c>
      <c r="E38" s="2">
        <v>621.57142857142856</v>
      </c>
      <c r="F38" s="2">
        <v>622.72727272727275</v>
      </c>
      <c r="G38" s="2">
        <v>620</v>
      </c>
      <c r="H38" s="2">
        <v>549.09090909090901</v>
      </c>
      <c r="I38" s="2">
        <v>243.272727272727</v>
      </c>
      <c r="J38" s="2">
        <v>217.058823529412</v>
      </c>
      <c r="K38" s="2">
        <v>303.18181818181802</v>
      </c>
      <c r="L38" s="2">
        <v>252.083333333333</v>
      </c>
      <c r="M38" s="2">
        <v>235.42857142857142</v>
      </c>
      <c r="N38" s="2">
        <v>1160</v>
      </c>
      <c r="O38" s="2">
        <v>1192.3076923076924</v>
      </c>
      <c r="P38" s="2">
        <v>1164.2857142857142</v>
      </c>
      <c r="Q38" s="2">
        <v>1022</v>
      </c>
      <c r="R38" s="2">
        <v>887.69230769230774</v>
      </c>
      <c r="S38" s="2">
        <v>797.14285714285711</v>
      </c>
      <c r="T38" s="2">
        <v>760.38461538461536</v>
      </c>
      <c r="U38" s="2">
        <v>835.83333333333337</v>
      </c>
      <c r="V38" s="2">
        <v>754.28571428571433</v>
      </c>
      <c r="W38" s="2">
        <v>704.09090909090901</v>
      </c>
      <c r="X38" s="2">
        <v>750.43</v>
      </c>
      <c r="Y38" s="2">
        <v>771.42857142857099</v>
      </c>
      <c r="Z38" s="2">
        <v>1223.88591</v>
      </c>
      <c r="AA38" s="2">
        <v>1200.6318571428601</v>
      </c>
      <c r="AB38" s="2">
        <v>1204.2857142857099</v>
      </c>
      <c r="AC38" s="2">
        <v>1104.2857142857099</v>
      </c>
    </row>
    <row r="39" spans="1:29" x14ac:dyDescent="0.25">
      <c r="A39" t="s">
        <v>40</v>
      </c>
      <c r="B39" s="2">
        <v>671.85820506544189</v>
      </c>
      <c r="C39" s="2">
        <v>648.93355209761864</v>
      </c>
      <c r="D39" s="2">
        <v>630.63437783511301</v>
      </c>
      <c r="E39" s="2">
        <v>626.2121758236234</v>
      </c>
      <c r="F39" s="2">
        <v>626.69984033807566</v>
      </c>
      <c r="G39" s="2">
        <v>600.34751790409689</v>
      </c>
      <c r="H39" s="2">
        <v>545.82738828915285</v>
      </c>
      <c r="I39" s="2">
        <v>238.11330423335062</v>
      </c>
      <c r="J39" s="2">
        <v>254.05623080108376</v>
      </c>
      <c r="K39" s="2">
        <v>264.28955983955984</v>
      </c>
      <c r="L39" s="2">
        <v>263.75565732758827</v>
      </c>
      <c r="M39" s="2">
        <v>257.11872510951451</v>
      </c>
      <c r="N39" s="2">
        <v>1189.1212378095611</v>
      </c>
      <c r="O39" s="2">
        <v>1214.1674524908103</v>
      </c>
      <c r="P39" s="2">
        <v>1184.8254225255844</v>
      </c>
      <c r="Q39" s="2">
        <v>1030.4633875725708</v>
      </c>
      <c r="R39" s="2">
        <v>830.45500887423873</v>
      </c>
      <c r="S39" s="2">
        <v>770.54188412553015</v>
      </c>
      <c r="T39" s="2">
        <v>750.17227512966679</v>
      </c>
      <c r="U39" s="2">
        <v>769.61703094327584</v>
      </c>
      <c r="V39" s="2">
        <v>701.24442509442508</v>
      </c>
      <c r="W39" s="2">
        <v>696.78722674971084</v>
      </c>
      <c r="X39" s="2">
        <v>679.3644834566602</v>
      </c>
      <c r="Y39" s="2">
        <v>668.29655068340833</v>
      </c>
      <c r="Z39" s="2">
        <v>1239.3271114285071</v>
      </c>
      <c r="AA39" s="2">
        <v>1261.6457672081458</v>
      </c>
      <c r="AB39" s="2">
        <v>1245.8011343654223</v>
      </c>
      <c r="AC39" s="2">
        <v>1258.3446139543967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24C34-AA9B-4F9D-8118-401365E611A0}">
  <dimension ref="A1:E1069"/>
  <sheetViews>
    <sheetView workbookViewId="0">
      <selection activeCell="D1067" sqref="D1067:D1069"/>
    </sheetView>
  </sheetViews>
  <sheetFormatPr defaultRowHeight="15" x14ac:dyDescent="0.25"/>
  <cols>
    <col min="1" max="1" width="9.5703125" bestFit="1" customWidth="1"/>
    <col min="2" max="2" width="10.140625" bestFit="1" customWidth="1"/>
    <col min="3" max="3" width="9.7109375" bestFit="1" customWidth="1"/>
    <col min="4" max="4" width="9.28515625" bestFit="1" customWidth="1"/>
    <col min="5" max="5" width="6.5703125" bestFit="1" customWidth="1"/>
  </cols>
  <sheetData>
    <row r="1" spans="1:5" x14ac:dyDescent="0.25">
      <c r="A1" t="s">
        <v>0</v>
      </c>
      <c r="B1" t="s">
        <v>1</v>
      </c>
      <c r="C1" t="s">
        <v>2</v>
      </c>
      <c r="D1" t="s">
        <v>82</v>
      </c>
      <c r="E1" t="s">
        <v>3</v>
      </c>
    </row>
    <row r="2" spans="1:5" hidden="1" x14ac:dyDescent="0.25">
      <c r="A2" t="s">
        <v>33</v>
      </c>
      <c r="B2" s="1">
        <v>45658</v>
      </c>
      <c r="C2" s="2">
        <v>1308.2605000000001</v>
      </c>
      <c r="D2" t="s">
        <v>5</v>
      </c>
      <c r="E2">
        <v>2025</v>
      </c>
    </row>
    <row r="3" spans="1:5" hidden="1" x14ac:dyDescent="0.25">
      <c r="A3" t="s">
        <v>33</v>
      </c>
      <c r="B3" s="1">
        <v>45717</v>
      </c>
      <c r="C3" s="2">
        <v>1305</v>
      </c>
      <c r="D3" t="s">
        <v>13</v>
      </c>
      <c r="E3">
        <v>2025</v>
      </c>
    </row>
    <row r="4" spans="1:5" x14ac:dyDescent="0.25">
      <c r="A4" t="s">
        <v>33</v>
      </c>
      <c r="B4" s="1">
        <v>45566</v>
      </c>
      <c r="C4" s="2">
        <v>1278.125</v>
      </c>
      <c r="D4" t="s">
        <v>49</v>
      </c>
      <c r="E4">
        <v>2024</v>
      </c>
    </row>
    <row r="5" spans="1:5" hidden="1" x14ac:dyDescent="0.25">
      <c r="A5" t="s">
        <v>33</v>
      </c>
      <c r="B5" s="1">
        <v>45689</v>
      </c>
      <c r="C5" s="2">
        <v>1272</v>
      </c>
      <c r="D5" t="s">
        <v>16</v>
      </c>
      <c r="E5">
        <v>2025</v>
      </c>
    </row>
    <row r="6" spans="1:5" x14ac:dyDescent="0.25">
      <c r="A6" t="s">
        <v>33</v>
      </c>
      <c r="B6" s="1">
        <v>45597</v>
      </c>
      <c r="C6" s="2">
        <v>1260.6561999999999</v>
      </c>
      <c r="D6" t="s">
        <v>53</v>
      </c>
      <c r="E6">
        <v>2024</v>
      </c>
    </row>
    <row r="7" spans="1:5" hidden="1" x14ac:dyDescent="0.25">
      <c r="A7" t="s">
        <v>33</v>
      </c>
      <c r="B7" s="1">
        <v>45748</v>
      </c>
      <c r="C7" s="2">
        <v>1227.1513</v>
      </c>
      <c r="D7" t="s">
        <v>11</v>
      </c>
      <c r="E7">
        <v>2025</v>
      </c>
    </row>
    <row r="8" spans="1:5" x14ac:dyDescent="0.25">
      <c r="A8" t="s">
        <v>33</v>
      </c>
      <c r="B8" s="1">
        <v>45627</v>
      </c>
      <c r="C8" s="2">
        <v>1224.6719000000001</v>
      </c>
      <c r="D8" t="s">
        <v>52</v>
      </c>
      <c r="E8">
        <v>2024</v>
      </c>
    </row>
    <row r="9" spans="1:5" x14ac:dyDescent="0.25">
      <c r="A9" t="s">
        <v>33</v>
      </c>
      <c r="B9" s="1">
        <v>45536</v>
      </c>
      <c r="C9" s="2">
        <v>1009</v>
      </c>
      <c r="D9" t="s">
        <v>51</v>
      </c>
      <c r="E9">
        <v>2024</v>
      </c>
    </row>
    <row r="10" spans="1:5" x14ac:dyDescent="0.25">
      <c r="A10" t="s">
        <v>33</v>
      </c>
      <c r="B10" s="1">
        <v>45505</v>
      </c>
      <c r="C10" s="2">
        <v>887.72310000000004</v>
      </c>
      <c r="D10" t="s">
        <v>50</v>
      </c>
      <c r="E10">
        <v>2024</v>
      </c>
    </row>
    <row r="11" spans="1:5" x14ac:dyDescent="0.25">
      <c r="A11" t="s">
        <v>33</v>
      </c>
      <c r="B11" s="1">
        <v>45474</v>
      </c>
      <c r="C11" s="2">
        <v>797.42060000000004</v>
      </c>
      <c r="D11" t="s">
        <v>47</v>
      </c>
      <c r="E11">
        <v>2024</v>
      </c>
    </row>
    <row r="12" spans="1:5" x14ac:dyDescent="0.25">
      <c r="A12" t="s">
        <v>33</v>
      </c>
      <c r="B12" s="1">
        <v>45444</v>
      </c>
      <c r="C12" s="2">
        <v>794.90909999999997</v>
      </c>
      <c r="D12" t="s">
        <v>48</v>
      </c>
      <c r="E12">
        <v>2024</v>
      </c>
    </row>
    <row r="13" spans="1:5" x14ac:dyDescent="0.25">
      <c r="A13" t="s">
        <v>33</v>
      </c>
      <c r="B13" s="1">
        <v>45413</v>
      </c>
      <c r="C13" s="2">
        <v>770</v>
      </c>
      <c r="D13" t="s">
        <v>9</v>
      </c>
      <c r="E13">
        <v>2024</v>
      </c>
    </row>
    <row r="14" spans="1:5" x14ac:dyDescent="0.25">
      <c r="A14" t="s">
        <v>33</v>
      </c>
      <c r="B14" s="1">
        <v>45352</v>
      </c>
      <c r="C14" s="2">
        <v>710.83330000000001</v>
      </c>
      <c r="D14" t="s">
        <v>13</v>
      </c>
      <c r="E14">
        <v>2024</v>
      </c>
    </row>
    <row r="15" spans="1:5" x14ac:dyDescent="0.25">
      <c r="A15" t="s">
        <v>33</v>
      </c>
      <c r="B15" s="1">
        <v>45383</v>
      </c>
      <c r="C15" s="2">
        <v>706</v>
      </c>
      <c r="D15" t="s">
        <v>11</v>
      </c>
      <c r="E15">
        <v>2024</v>
      </c>
    </row>
    <row r="16" spans="1:5" hidden="1" x14ac:dyDescent="0.25">
      <c r="A16" t="s">
        <v>33</v>
      </c>
      <c r="B16" s="1">
        <v>45261</v>
      </c>
      <c r="C16" s="2">
        <v>690.52629999999999</v>
      </c>
      <c r="D16" t="s">
        <v>52</v>
      </c>
      <c r="E16">
        <v>2023</v>
      </c>
    </row>
    <row r="17" spans="1:5" x14ac:dyDescent="0.25">
      <c r="A17" t="s">
        <v>33</v>
      </c>
      <c r="B17" s="1">
        <v>45323</v>
      </c>
      <c r="C17" s="2">
        <v>688.62</v>
      </c>
      <c r="D17" t="s">
        <v>16</v>
      </c>
      <c r="E17">
        <v>2024</v>
      </c>
    </row>
    <row r="18" spans="1:5" x14ac:dyDescent="0.25">
      <c r="A18" t="s">
        <v>33</v>
      </c>
      <c r="B18" s="1">
        <v>45292</v>
      </c>
      <c r="C18" s="2">
        <v>687.5</v>
      </c>
      <c r="D18" t="s">
        <v>5</v>
      </c>
      <c r="E18">
        <v>2024</v>
      </c>
    </row>
    <row r="19" spans="1:5" hidden="1" x14ac:dyDescent="0.25">
      <c r="A19" t="s">
        <v>33</v>
      </c>
      <c r="B19" s="1">
        <v>45231</v>
      </c>
      <c r="C19" s="2">
        <v>654.35709999999995</v>
      </c>
      <c r="D19" t="s">
        <v>53</v>
      </c>
      <c r="E19">
        <v>2023</v>
      </c>
    </row>
    <row r="20" spans="1:5" hidden="1" x14ac:dyDescent="0.25">
      <c r="A20" t="s">
        <v>33</v>
      </c>
      <c r="B20" s="1">
        <v>45108</v>
      </c>
      <c r="C20" s="2">
        <v>643.125</v>
      </c>
      <c r="D20" t="s">
        <v>47</v>
      </c>
      <c r="E20">
        <v>2023</v>
      </c>
    </row>
    <row r="21" spans="1:5" hidden="1" x14ac:dyDescent="0.25">
      <c r="A21" t="s">
        <v>33</v>
      </c>
      <c r="B21" s="1">
        <v>45139</v>
      </c>
      <c r="C21" s="2">
        <v>631.33330000000001</v>
      </c>
      <c r="D21" t="s">
        <v>50</v>
      </c>
      <c r="E21">
        <v>2023</v>
      </c>
    </row>
    <row r="22" spans="1:5" hidden="1" x14ac:dyDescent="0.25">
      <c r="A22" t="s">
        <v>33</v>
      </c>
      <c r="B22" s="1">
        <v>45170</v>
      </c>
      <c r="C22" s="2">
        <v>630.64290000000005</v>
      </c>
      <c r="D22" t="s">
        <v>51</v>
      </c>
      <c r="E22">
        <v>2023</v>
      </c>
    </row>
    <row r="23" spans="1:5" hidden="1" x14ac:dyDescent="0.25">
      <c r="A23" t="s">
        <v>33</v>
      </c>
      <c r="B23" s="1">
        <v>45200</v>
      </c>
      <c r="C23" s="2">
        <v>621.25</v>
      </c>
      <c r="D23" t="s">
        <v>49</v>
      </c>
      <c r="E23">
        <v>2023</v>
      </c>
    </row>
    <row r="24" spans="1:5" hidden="1" x14ac:dyDescent="0.25">
      <c r="A24" t="s">
        <v>33</v>
      </c>
      <c r="B24" s="1">
        <v>45078</v>
      </c>
      <c r="C24" s="2">
        <v>552.72730000000001</v>
      </c>
      <c r="D24" t="s">
        <v>48</v>
      </c>
      <c r="E24">
        <v>2023</v>
      </c>
    </row>
    <row r="25" spans="1:5" hidden="1" x14ac:dyDescent="0.25">
      <c r="A25" t="s">
        <v>33</v>
      </c>
      <c r="B25" s="1">
        <v>44927</v>
      </c>
      <c r="C25" s="2">
        <v>300.69229999999999</v>
      </c>
      <c r="D25" t="s">
        <v>5</v>
      </c>
      <c r="E25">
        <v>2023</v>
      </c>
    </row>
    <row r="26" spans="1:5" hidden="1" x14ac:dyDescent="0.25">
      <c r="A26" t="s">
        <v>33</v>
      </c>
      <c r="B26" s="1">
        <v>44986</v>
      </c>
      <c r="C26" s="2">
        <v>300.5385</v>
      </c>
      <c r="D26" t="s">
        <v>13</v>
      </c>
      <c r="E26">
        <v>2023</v>
      </c>
    </row>
    <row r="27" spans="1:5" hidden="1" x14ac:dyDescent="0.25">
      <c r="A27" t="s">
        <v>33</v>
      </c>
      <c r="B27" s="1">
        <v>44958</v>
      </c>
      <c r="C27" s="2">
        <v>288.57139999999998</v>
      </c>
      <c r="D27" t="s">
        <v>16</v>
      </c>
      <c r="E27">
        <v>2023</v>
      </c>
    </row>
    <row r="28" spans="1:5" hidden="1" x14ac:dyDescent="0.25">
      <c r="A28" t="s">
        <v>33</v>
      </c>
      <c r="B28" s="1">
        <v>45047</v>
      </c>
      <c r="C28" s="2">
        <v>236.25</v>
      </c>
      <c r="D28" t="s">
        <v>9</v>
      </c>
      <c r="E28">
        <v>2023</v>
      </c>
    </row>
    <row r="29" spans="1:5" hidden="1" x14ac:dyDescent="0.25">
      <c r="A29" t="s">
        <v>33</v>
      </c>
      <c r="B29" s="1">
        <v>45017</v>
      </c>
      <c r="C29" s="2">
        <v>220.45</v>
      </c>
      <c r="D29" t="s">
        <v>11</v>
      </c>
      <c r="E29">
        <v>2023</v>
      </c>
    </row>
    <row r="30" spans="1:5" x14ac:dyDescent="0.25">
      <c r="A30" t="s">
        <v>8</v>
      </c>
      <c r="B30" s="1">
        <v>45597</v>
      </c>
      <c r="C30" s="2">
        <v>1230.5640000000001</v>
      </c>
      <c r="D30" t="s">
        <v>53</v>
      </c>
      <c r="E30">
        <v>2024</v>
      </c>
    </row>
    <row r="31" spans="1:5" hidden="1" x14ac:dyDescent="0.25">
      <c r="A31" t="s">
        <v>8</v>
      </c>
      <c r="B31" s="1">
        <v>45658</v>
      </c>
      <c r="C31" s="2">
        <v>1182</v>
      </c>
      <c r="D31" t="s">
        <v>5</v>
      </c>
      <c r="E31">
        <v>2025</v>
      </c>
    </row>
    <row r="32" spans="1:5" hidden="1" x14ac:dyDescent="0.25">
      <c r="A32" t="s">
        <v>8</v>
      </c>
      <c r="B32" s="1">
        <v>45748</v>
      </c>
      <c r="C32" s="2">
        <v>1180.4167</v>
      </c>
      <c r="D32" t="s">
        <v>11</v>
      </c>
      <c r="E32">
        <v>2025</v>
      </c>
    </row>
    <row r="33" spans="1:5" hidden="1" x14ac:dyDescent="0.25">
      <c r="A33" t="s">
        <v>8</v>
      </c>
      <c r="B33" s="1">
        <v>45689</v>
      </c>
      <c r="C33" s="2">
        <v>1166</v>
      </c>
      <c r="D33" t="s">
        <v>16</v>
      </c>
      <c r="E33">
        <v>2025</v>
      </c>
    </row>
    <row r="34" spans="1:5" hidden="1" x14ac:dyDescent="0.25">
      <c r="A34" t="s">
        <v>8</v>
      </c>
      <c r="B34" s="1">
        <v>45717</v>
      </c>
      <c r="C34" s="2">
        <v>1149.4146000000001</v>
      </c>
      <c r="D34" t="s">
        <v>13</v>
      </c>
      <c r="E34">
        <v>2025</v>
      </c>
    </row>
    <row r="35" spans="1:5" x14ac:dyDescent="0.25">
      <c r="A35" t="s">
        <v>8</v>
      </c>
      <c r="B35" s="1">
        <v>45566</v>
      </c>
      <c r="C35" s="2">
        <v>1124.6125</v>
      </c>
      <c r="D35" t="s">
        <v>49</v>
      </c>
      <c r="E35">
        <v>2024</v>
      </c>
    </row>
    <row r="36" spans="1:5" x14ac:dyDescent="0.25">
      <c r="A36" t="s">
        <v>8</v>
      </c>
      <c r="B36" s="1">
        <v>45627</v>
      </c>
      <c r="C36" s="2">
        <v>1102.25</v>
      </c>
      <c r="D36" t="s">
        <v>52</v>
      </c>
      <c r="E36">
        <v>2024</v>
      </c>
    </row>
    <row r="37" spans="1:5" x14ac:dyDescent="0.25">
      <c r="A37" t="s">
        <v>8</v>
      </c>
      <c r="B37" s="1">
        <v>45536</v>
      </c>
      <c r="C37" s="2">
        <v>1025</v>
      </c>
      <c r="D37" t="s">
        <v>51</v>
      </c>
      <c r="E37">
        <v>2024</v>
      </c>
    </row>
    <row r="38" spans="1:5" x14ac:dyDescent="0.25">
      <c r="A38" t="s">
        <v>8</v>
      </c>
      <c r="B38" s="1">
        <v>45505</v>
      </c>
      <c r="C38" s="2">
        <v>705.25</v>
      </c>
      <c r="D38" t="s">
        <v>50</v>
      </c>
      <c r="E38">
        <v>2024</v>
      </c>
    </row>
    <row r="39" spans="1:5" x14ac:dyDescent="0.25">
      <c r="A39" t="s">
        <v>8</v>
      </c>
      <c r="B39" s="1">
        <v>45444</v>
      </c>
      <c r="C39" s="2">
        <v>696</v>
      </c>
      <c r="D39" t="s">
        <v>48</v>
      </c>
      <c r="E39">
        <v>2024</v>
      </c>
    </row>
    <row r="40" spans="1:5" x14ac:dyDescent="0.25">
      <c r="A40" t="s">
        <v>8</v>
      </c>
      <c r="B40" s="1">
        <v>45352</v>
      </c>
      <c r="C40" s="2">
        <v>695.6</v>
      </c>
      <c r="D40" t="s">
        <v>13</v>
      </c>
      <c r="E40">
        <v>2024</v>
      </c>
    </row>
    <row r="41" spans="1:5" x14ac:dyDescent="0.25">
      <c r="A41" t="s">
        <v>8</v>
      </c>
      <c r="B41" s="1">
        <v>45474</v>
      </c>
      <c r="C41" s="2">
        <v>677</v>
      </c>
      <c r="D41" t="s">
        <v>47</v>
      </c>
      <c r="E41">
        <v>2024</v>
      </c>
    </row>
    <row r="42" spans="1:5" x14ac:dyDescent="0.25">
      <c r="A42" t="s">
        <v>8</v>
      </c>
      <c r="B42" s="1">
        <v>45383</v>
      </c>
      <c r="C42" s="2">
        <v>670</v>
      </c>
      <c r="D42" t="s">
        <v>11</v>
      </c>
      <c r="E42">
        <v>2024</v>
      </c>
    </row>
    <row r="43" spans="1:5" hidden="1" x14ac:dyDescent="0.25">
      <c r="A43" t="s">
        <v>8</v>
      </c>
      <c r="B43" s="1">
        <v>45261</v>
      </c>
      <c r="C43" s="2">
        <v>663.33330000000001</v>
      </c>
      <c r="D43" t="s">
        <v>52</v>
      </c>
      <c r="E43">
        <v>2023</v>
      </c>
    </row>
    <row r="44" spans="1:5" x14ac:dyDescent="0.25">
      <c r="A44" t="s">
        <v>8</v>
      </c>
      <c r="B44" s="1">
        <v>45413</v>
      </c>
      <c r="C44" s="2">
        <v>662.73109999999997</v>
      </c>
      <c r="D44" t="s">
        <v>9</v>
      </c>
      <c r="E44">
        <v>2024</v>
      </c>
    </row>
    <row r="45" spans="1:5" x14ac:dyDescent="0.25">
      <c r="A45" t="s">
        <v>8</v>
      </c>
      <c r="B45" s="1">
        <v>45323</v>
      </c>
      <c r="C45" s="2">
        <v>653.20000000000005</v>
      </c>
      <c r="D45" t="s">
        <v>16</v>
      </c>
      <c r="E45">
        <v>2024</v>
      </c>
    </row>
    <row r="46" spans="1:5" hidden="1" x14ac:dyDescent="0.25">
      <c r="A46" t="s">
        <v>8</v>
      </c>
      <c r="B46" s="1">
        <v>45231</v>
      </c>
      <c r="C46" s="2">
        <v>640</v>
      </c>
      <c r="D46" t="s">
        <v>53</v>
      </c>
      <c r="E46">
        <v>2023</v>
      </c>
    </row>
    <row r="47" spans="1:5" hidden="1" x14ac:dyDescent="0.25">
      <c r="A47" t="s">
        <v>8</v>
      </c>
      <c r="B47" s="1">
        <v>45200</v>
      </c>
      <c r="C47" s="2">
        <v>637.20000000000005</v>
      </c>
      <c r="D47" t="s">
        <v>49</v>
      </c>
      <c r="E47">
        <v>2023</v>
      </c>
    </row>
    <row r="48" spans="1:5" x14ac:dyDescent="0.25">
      <c r="A48" t="s">
        <v>8</v>
      </c>
      <c r="B48" s="1">
        <v>45292</v>
      </c>
      <c r="C48" s="2">
        <v>632.12440000000004</v>
      </c>
      <c r="D48" t="s">
        <v>5</v>
      </c>
      <c r="E48">
        <v>2024</v>
      </c>
    </row>
    <row r="49" spans="1:5" hidden="1" x14ac:dyDescent="0.25">
      <c r="A49" t="s">
        <v>8</v>
      </c>
      <c r="B49" s="1">
        <v>45170</v>
      </c>
      <c r="C49" s="2">
        <v>617.78</v>
      </c>
      <c r="D49" t="s">
        <v>51</v>
      </c>
      <c r="E49">
        <v>2023</v>
      </c>
    </row>
    <row r="50" spans="1:5" hidden="1" x14ac:dyDescent="0.25">
      <c r="A50" t="s">
        <v>8</v>
      </c>
      <c r="B50" s="1">
        <v>45139</v>
      </c>
      <c r="C50" s="2">
        <v>617.6</v>
      </c>
      <c r="D50" t="s">
        <v>50</v>
      </c>
      <c r="E50">
        <v>2023</v>
      </c>
    </row>
    <row r="51" spans="1:5" hidden="1" x14ac:dyDescent="0.25">
      <c r="A51" t="s">
        <v>8</v>
      </c>
      <c r="B51" s="1">
        <v>45108</v>
      </c>
      <c r="C51" s="2">
        <v>616.83330000000001</v>
      </c>
      <c r="D51" t="s">
        <v>47</v>
      </c>
      <c r="E51">
        <v>2023</v>
      </c>
    </row>
    <row r="52" spans="1:5" hidden="1" x14ac:dyDescent="0.25">
      <c r="A52" t="s">
        <v>8</v>
      </c>
      <c r="B52" s="1">
        <v>45078</v>
      </c>
      <c r="C52" s="2">
        <v>539.14290000000005</v>
      </c>
      <c r="D52" t="s">
        <v>48</v>
      </c>
      <c r="E52">
        <v>2023</v>
      </c>
    </row>
    <row r="53" spans="1:5" hidden="1" x14ac:dyDescent="0.25">
      <c r="A53" t="s">
        <v>8</v>
      </c>
      <c r="B53" s="1">
        <v>44927</v>
      </c>
      <c r="C53" s="2">
        <v>229</v>
      </c>
      <c r="D53" t="s">
        <v>5</v>
      </c>
      <c r="E53">
        <v>2023</v>
      </c>
    </row>
    <row r="54" spans="1:5" hidden="1" x14ac:dyDescent="0.25">
      <c r="A54" t="s">
        <v>8</v>
      </c>
      <c r="B54" s="1">
        <v>44986</v>
      </c>
      <c r="C54" s="2">
        <v>222.9091</v>
      </c>
      <c r="D54" t="s">
        <v>13</v>
      </c>
      <c r="E54">
        <v>2023</v>
      </c>
    </row>
    <row r="55" spans="1:5" hidden="1" x14ac:dyDescent="0.25">
      <c r="A55" t="s">
        <v>8</v>
      </c>
      <c r="B55" s="1">
        <v>44958</v>
      </c>
      <c r="C55" s="2">
        <v>200</v>
      </c>
      <c r="D55" t="s">
        <v>16</v>
      </c>
      <c r="E55">
        <v>2023</v>
      </c>
    </row>
    <row r="56" spans="1:5" hidden="1" x14ac:dyDescent="0.25">
      <c r="A56" t="s">
        <v>8</v>
      </c>
      <c r="B56" s="1">
        <v>45017</v>
      </c>
      <c r="C56" s="2">
        <v>198.125</v>
      </c>
      <c r="D56" t="s">
        <v>11</v>
      </c>
      <c r="E56">
        <v>2023</v>
      </c>
    </row>
    <row r="57" spans="1:5" hidden="1" x14ac:dyDescent="0.25">
      <c r="A57" t="s">
        <v>8</v>
      </c>
      <c r="B57" s="1">
        <v>45047</v>
      </c>
      <c r="C57" s="2">
        <v>195</v>
      </c>
      <c r="D57" t="s">
        <v>9</v>
      </c>
      <c r="E57">
        <v>2023</v>
      </c>
    </row>
    <row r="58" spans="1:5" hidden="1" x14ac:dyDescent="0.25">
      <c r="A58" t="s">
        <v>19</v>
      </c>
      <c r="B58" s="1">
        <v>45717</v>
      </c>
      <c r="C58" s="2">
        <v>1400</v>
      </c>
      <c r="D58" t="s">
        <v>13</v>
      </c>
      <c r="E58">
        <v>2025</v>
      </c>
    </row>
    <row r="59" spans="1:5" hidden="1" x14ac:dyDescent="0.25">
      <c r="A59" t="s">
        <v>19</v>
      </c>
      <c r="B59" s="1">
        <v>45689</v>
      </c>
      <c r="C59" s="2">
        <v>1400</v>
      </c>
      <c r="D59" t="s">
        <v>16</v>
      </c>
      <c r="E59">
        <v>2025</v>
      </c>
    </row>
    <row r="60" spans="1:5" hidden="1" x14ac:dyDescent="0.25">
      <c r="A60" t="s">
        <v>19</v>
      </c>
      <c r="B60" s="1">
        <v>45748</v>
      </c>
      <c r="C60" s="2">
        <v>1370</v>
      </c>
      <c r="D60" t="s">
        <v>11</v>
      </c>
      <c r="E60">
        <v>2025</v>
      </c>
    </row>
    <row r="61" spans="1:5" hidden="1" x14ac:dyDescent="0.25">
      <c r="A61" t="s">
        <v>19</v>
      </c>
      <c r="B61" s="1">
        <v>45658</v>
      </c>
      <c r="C61" s="2">
        <v>1350</v>
      </c>
      <c r="D61" t="s">
        <v>5</v>
      </c>
      <c r="E61">
        <v>2025</v>
      </c>
    </row>
    <row r="62" spans="1:5" x14ac:dyDescent="0.25">
      <c r="A62" t="s">
        <v>19</v>
      </c>
      <c r="B62" s="1">
        <v>45597</v>
      </c>
      <c r="C62" s="2">
        <v>1319.8471999999999</v>
      </c>
      <c r="D62" t="s">
        <v>53</v>
      </c>
      <c r="E62">
        <v>2024</v>
      </c>
    </row>
    <row r="63" spans="1:5" x14ac:dyDescent="0.25">
      <c r="A63" t="s">
        <v>19</v>
      </c>
      <c r="B63" s="1">
        <v>45627</v>
      </c>
      <c r="C63" s="2">
        <v>1301.3333</v>
      </c>
      <c r="D63" t="s">
        <v>52</v>
      </c>
      <c r="E63">
        <v>2024</v>
      </c>
    </row>
    <row r="64" spans="1:5" x14ac:dyDescent="0.25">
      <c r="A64" t="s">
        <v>19</v>
      </c>
      <c r="B64" s="1">
        <v>45566</v>
      </c>
      <c r="C64" s="2">
        <v>1210.925</v>
      </c>
      <c r="D64" t="s">
        <v>49</v>
      </c>
      <c r="E64">
        <v>2024</v>
      </c>
    </row>
    <row r="65" spans="1:5" x14ac:dyDescent="0.25">
      <c r="A65" t="s">
        <v>19</v>
      </c>
      <c r="B65" s="1">
        <v>45536</v>
      </c>
      <c r="C65" s="2">
        <v>1082.5</v>
      </c>
      <c r="D65" t="s">
        <v>51</v>
      </c>
      <c r="E65">
        <v>2024</v>
      </c>
    </row>
    <row r="66" spans="1:5" x14ac:dyDescent="0.25">
      <c r="A66" t="s">
        <v>19</v>
      </c>
      <c r="B66" s="1">
        <v>45505</v>
      </c>
      <c r="C66" s="2">
        <v>879.55550000000005</v>
      </c>
      <c r="D66" t="s">
        <v>50</v>
      </c>
      <c r="E66">
        <v>2024</v>
      </c>
    </row>
    <row r="67" spans="1:5" x14ac:dyDescent="0.25">
      <c r="A67" t="s">
        <v>19</v>
      </c>
      <c r="B67" s="1">
        <v>45474</v>
      </c>
      <c r="C67" s="2">
        <v>809.73329999999999</v>
      </c>
      <c r="D67" t="s">
        <v>47</v>
      </c>
      <c r="E67">
        <v>2024</v>
      </c>
    </row>
    <row r="68" spans="1:5" x14ac:dyDescent="0.25">
      <c r="A68" t="s">
        <v>19</v>
      </c>
      <c r="B68" s="1">
        <v>45413</v>
      </c>
      <c r="C68" s="2">
        <v>798.6</v>
      </c>
      <c r="D68" t="s">
        <v>9</v>
      </c>
      <c r="E68">
        <v>2024</v>
      </c>
    </row>
    <row r="69" spans="1:5" hidden="1" x14ac:dyDescent="0.25">
      <c r="A69" t="s">
        <v>19</v>
      </c>
      <c r="B69" s="1">
        <v>45261</v>
      </c>
      <c r="C69" s="2">
        <v>745.71429999999998</v>
      </c>
      <c r="D69" t="s">
        <v>52</v>
      </c>
      <c r="E69">
        <v>2023</v>
      </c>
    </row>
    <row r="70" spans="1:5" x14ac:dyDescent="0.25">
      <c r="A70" t="s">
        <v>19</v>
      </c>
      <c r="B70" s="1">
        <v>45444</v>
      </c>
      <c r="C70" s="2">
        <v>741.66669999999999</v>
      </c>
      <c r="D70" t="s">
        <v>48</v>
      </c>
      <c r="E70">
        <v>2024</v>
      </c>
    </row>
    <row r="71" spans="1:5" x14ac:dyDescent="0.25">
      <c r="A71" t="s">
        <v>19</v>
      </c>
      <c r="B71" s="1">
        <v>45383</v>
      </c>
      <c r="C71" s="2">
        <v>741.66669999999999</v>
      </c>
      <c r="D71" t="s">
        <v>11</v>
      </c>
      <c r="E71">
        <v>2024</v>
      </c>
    </row>
    <row r="72" spans="1:5" x14ac:dyDescent="0.25">
      <c r="A72" t="s">
        <v>19</v>
      </c>
      <c r="B72" s="1">
        <v>45352</v>
      </c>
      <c r="C72" s="2">
        <v>735</v>
      </c>
      <c r="D72" t="s">
        <v>13</v>
      </c>
      <c r="E72">
        <v>2024</v>
      </c>
    </row>
    <row r="73" spans="1:5" x14ac:dyDescent="0.25">
      <c r="A73" t="s">
        <v>19</v>
      </c>
      <c r="B73" s="1">
        <v>45323</v>
      </c>
      <c r="C73" s="2">
        <v>680.42</v>
      </c>
      <c r="D73" t="s">
        <v>16</v>
      </c>
      <c r="E73">
        <v>2024</v>
      </c>
    </row>
    <row r="74" spans="1:5" x14ac:dyDescent="0.25">
      <c r="A74" t="s">
        <v>19</v>
      </c>
      <c r="B74" s="1">
        <v>45292</v>
      </c>
      <c r="C74" s="2">
        <v>671.4</v>
      </c>
      <c r="D74" t="s">
        <v>5</v>
      </c>
      <c r="E74">
        <v>2024</v>
      </c>
    </row>
    <row r="75" spans="1:5" hidden="1" x14ac:dyDescent="0.25">
      <c r="A75" t="s">
        <v>19</v>
      </c>
      <c r="B75" s="1">
        <v>45231</v>
      </c>
      <c r="C75" s="2">
        <v>638.375</v>
      </c>
      <c r="D75" t="s">
        <v>53</v>
      </c>
      <c r="E75">
        <v>2023</v>
      </c>
    </row>
    <row r="76" spans="1:5" hidden="1" x14ac:dyDescent="0.25">
      <c r="A76" t="s">
        <v>19</v>
      </c>
      <c r="B76" s="1">
        <v>45108</v>
      </c>
      <c r="C76" s="2">
        <v>630</v>
      </c>
      <c r="D76" t="s">
        <v>47</v>
      </c>
      <c r="E76">
        <v>2023</v>
      </c>
    </row>
    <row r="77" spans="1:5" hidden="1" x14ac:dyDescent="0.25">
      <c r="A77" t="s">
        <v>19</v>
      </c>
      <c r="B77" s="1">
        <v>45170</v>
      </c>
      <c r="C77" s="2">
        <v>621.42859999999996</v>
      </c>
      <c r="D77" t="s">
        <v>51</v>
      </c>
      <c r="E77">
        <v>2023</v>
      </c>
    </row>
    <row r="78" spans="1:5" hidden="1" x14ac:dyDescent="0.25">
      <c r="A78" t="s">
        <v>19</v>
      </c>
      <c r="B78" s="1">
        <v>45200</v>
      </c>
      <c r="C78" s="2">
        <v>615.71429999999998</v>
      </c>
      <c r="D78" t="s">
        <v>49</v>
      </c>
      <c r="E78">
        <v>2023</v>
      </c>
    </row>
    <row r="79" spans="1:5" hidden="1" x14ac:dyDescent="0.25">
      <c r="A79" t="s">
        <v>19</v>
      </c>
      <c r="B79" s="1">
        <v>45139</v>
      </c>
      <c r="C79" s="2">
        <v>594.8125</v>
      </c>
      <c r="D79" t="s">
        <v>50</v>
      </c>
      <c r="E79">
        <v>2023</v>
      </c>
    </row>
    <row r="80" spans="1:5" hidden="1" x14ac:dyDescent="0.25">
      <c r="A80" t="s">
        <v>19</v>
      </c>
      <c r="B80" s="1">
        <v>45078</v>
      </c>
      <c r="C80" s="2">
        <v>551.25</v>
      </c>
      <c r="D80" t="s">
        <v>48</v>
      </c>
      <c r="E80">
        <v>2023</v>
      </c>
    </row>
    <row r="81" spans="1:5" hidden="1" x14ac:dyDescent="0.25">
      <c r="A81" t="s">
        <v>19</v>
      </c>
      <c r="B81" s="1">
        <v>44986</v>
      </c>
      <c r="C81" s="2">
        <v>305.33330000000001</v>
      </c>
      <c r="D81" t="s">
        <v>13</v>
      </c>
      <c r="E81">
        <v>2023</v>
      </c>
    </row>
    <row r="82" spans="1:5" hidden="1" x14ac:dyDescent="0.25">
      <c r="A82" t="s">
        <v>19</v>
      </c>
      <c r="B82" s="1">
        <v>44958</v>
      </c>
      <c r="C82" s="2">
        <v>300.66669999999999</v>
      </c>
      <c r="D82" t="s">
        <v>16</v>
      </c>
      <c r="E82">
        <v>2023</v>
      </c>
    </row>
    <row r="83" spans="1:5" hidden="1" x14ac:dyDescent="0.25">
      <c r="A83" t="s">
        <v>19</v>
      </c>
      <c r="B83" s="1">
        <v>44927</v>
      </c>
      <c r="C83" s="2">
        <v>260.5</v>
      </c>
      <c r="D83" t="s">
        <v>5</v>
      </c>
      <c r="E83">
        <v>2023</v>
      </c>
    </row>
    <row r="84" spans="1:5" hidden="1" x14ac:dyDescent="0.25">
      <c r="A84" t="s">
        <v>19</v>
      </c>
      <c r="B84" s="1">
        <v>45047</v>
      </c>
      <c r="C84" s="2">
        <v>238.88890000000001</v>
      </c>
      <c r="D84" t="s">
        <v>9</v>
      </c>
      <c r="E84">
        <v>2023</v>
      </c>
    </row>
    <row r="85" spans="1:5" hidden="1" x14ac:dyDescent="0.25">
      <c r="A85" t="s">
        <v>19</v>
      </c>
      <c r="B85" s="1">
        <v>45017</v>
      </c>
      <c r="C85" s="2">
        <v>206.11109999999999</v>
      </c>
      <c r="D85" t="s">
        <v>11</v>
      </c>
      <c r="E85">
        <v>2023</v>
      </c>
    </row>
    <row r="86" spans="1:5" hidden="1" x14ac:dyDescent="0.25">
      <c r="A86" t="s">
        <v>25</v>
      </c>
      <c r="B86" s="1">
        <v>45658</v>
      </c>
      <c r="C86" s="2">
        <v>1287.5</v>
      </c>
      <c r="D86" t="s">
        <v>5</v>
      </c>
      <c r="E86">
        <v>2025</v>
      </c>
    </row>
    <row r="87" spans="1:5" x14ac:dyDescent="0.25">
      <c r="A87" t="s">
        <v>25</v>
      </c>
      <c r="B87" s="1">
        <v>45566</v>
      </c>
      <c r="C87" s="2">
        <v>1258.3333</v>
      </c>
      <c r="D87" t="s">
        <v>49</v>
      </c>
      <c r="E87">
        <v>2024</v>
      </c>
    </row>
    <row r="88" spans="1:5" x14ac:dyDescent="0.25">
      <c r="A88" t="s">
        <v>25</v>
      </c>
      <c r="B88" s="1">
        <v>45597</v>
      </c>
      <c r="C88" s="2">
        <v>1203.9286</v>
      </c>
      <c r="D88" t="s">
        <v>53</v>
      </c>
      <c r="E88">
        <v>2024</v>
      </c>
    </row>
    <row r="89" spans="1:5" hidden="1" x14ac:dyDescent="0.25">
      <c r="A89" t="s">
        <v>25</v>
      </c>
      <c r="B89" s="1">
        <v>45717</v>
      </c>
      <c r="C89" s="2">
        <v>1184.0563</v>
      </c>
      <c r="D89" t="s">
        <v>13</v>
      </c>
      <c r="E89">
        <v>2025</v>
      </c>
    </row>
    <row r="90" spans="1:5" hidden="1" x14ac:dyDescent="0.25">
      <c r="A90" t="s">
        <v>25</v>
      </c>
      <c r="B90" s="1">
        <v>45689</v>
      </c>
      <c r="C90" s="2">
        <v>1162.5</v>
      </c>
      <c r="D90" t="s">
        <v>16</v>
      </c>
      <c r="E90">
        <v>2025</v>
      </c>
    </row>
    <row r="91" spans="1:5" x14ac:dyDescent="0.25">
      <c r="A91" t="s">
        <v>25</v>
      </c>
      <c r="B91" s="1">
        <v>45627</v>
      </c>
      <c r="C91" s="2">
        <v>1146.9375</v>
      </c>
      <c r="D91" t="s">
        <v>52</v>
      </c>
      <c r="E91">
        <v>2024</v>
      </c>
    </row>
    <row r="92" spans="1:5" hidden="1" x14ac:dyDescent="0.25">
      <c r="A92" t="s">
        <v>25</v>
      </c>
      <c r="B92" s="1">
        <v>45748</v>
      </c>
      <c r="C92" s="2">
        <v>1139</v>
      </c>
      <c r="D92" t="s">
        <v>11</v>
      </c>
      <c r="E92">
        <v>2025</v>
      </c>
    </row>
    <row r="93" spans="1:5" x14ac:dyDescent="0.25">
      <c r="A93" t="s">
        <v>25</v>
      </c>
      <c r="B93" s="1">
        <v>45536</v>
      </c>
      <c r="C93" s="2">
        <v>1085.7143000000001</v>
      </c>
      <c r="D93" t="s">
        <v>51</v>
      </c>
      <c r="E93">
        <v>2024</v>
      </c>
    </row>
    <row r="94" spans="1:5" x14ac:dyDescent="0.25">
      <c r="A94" t="s">
        <v>25</v>
      </c>
      <c r="B94" s="1">
        <v>45444</v>
      </c>
      <c r="C94" s="2">
        <v>807.77779999999996</v>
      </c>
      <c r="D94" t="s">
        <v>48</v>
      </c>
      <c r="E94">
        <v>2024</v>
      </c>
    </row>
    <row r="95" spans="1:5" x14ac:dyDescent="0.25">
      <c r="A95" t="s">
        <v>25</v>
      </c>
      <c r="B95" s="1">
        <v>45413</v>
      </c>
      <c r="C95" s="2">
        <v>790</v>
      </c>
      <c r="D95" t="s">
        <v>9</v>
      </c>
      <c r="E95">
        <v>2024</v>
      </c>
    </row>
    <row r="96" spans="1:5" x14ac:dyDescent="0.25">
      <c r="A96" t="s">
        <v>25</v>
      </c>
      <c r="B96" s="1">
        <v>45352</v>
      </c>
      <c r="C96" s="2">
        <v>704.44439999999997</v>
      </c>
      <c r="D96" t="s">
        <v>13</v>
      </c>
      <c r="E96">
        <v>2024</v>
      </c>
    </row>
    <row r="97" spans="1:5" x14ac:dyDescent="0.25">
      <c r="A97" t="s">
        <v>25</v>
      </c>
      <c r="B97" s="1">
        <v>45383</v>
      </c>
      <c r="C97" s="2">
        <v>692.5</v>
      </c>
      <c r="D97" t="s">
        <v>11</v>
      </c>
      <c r="E97">
        <v>2024</v>
      </c>
    </row>
    <row r="98" spans="1:5" x14ac:dyDescent="0.25">
      <c r="A98" t="s">
        <v>25</v>
      </c>
      <c r="B98" s="1">
        <v>45505</v>
      </c>
      <c r="C98" s="2">
        <v>681.42859999999996</v>
      </c>
      <c r="D98" t="s">
        <v>50</v>
      </c>
      <c r="E98">
        <v>2024</v>
      </c>
    </row>
    <row r="99" spans="1:5" x14ac:dyDescent="0.25">
      <c r="A99" t="s">
        <v>25</v>
      </c>
      <c r="B99" s="1">
        <v>45323</v>
      </c>
      <c r="C99" s="2">
        <v>678</v>
      </c>
      <c r="D99" t="s">
        <v>16</v>
      </c>
      <c r="E99">
        <v>2024</v>
      </c>
    </row>
    <row r="100" spans="1:5" x14ac:dyDescent="0.25">
      <c r="A100" t="s">
        <v>25</v>
      </c>
      <c r="B100" s="1">
        <v>45292</v>
      </c>
      <c r="C100" s="2">
        <v>677</v>
      </c>
      <c r="D100" t="s">
        <v>5</v>
      </c>
      <c r="E100">
        <v>2024</v>
      </c>
    </row>
    <row r="101" spans="1:5" hidden="1" x14ac:dyDescent="0.25">
      <c r="A101" t="s">
        <v>25</v>
      </c>
      <c r="B101" s="1">
        <v>45231</v>
      </c>
      <c r="C101" s="2">
        <v>675</v>
      </c>
      <c r="D101" t="s">
        <v>53</v>
      </c>
      <c r="E101">
        <v>2023</v>
      </c>
    </row>
    <row r="102" spans="1:5" x14ac:dyDescent="0.25">
      <c r="A102" t="s">
        <v>25</v>
      </c>
      <c r="B102" s="1">
        <v>45474</v>
      </c>
      <c r="C102" s="2">
        <v>673.75</v>
      </c>
      <c r="D102" t="s">
        <v>47</v>
      </c>
      <c r="E102">
        <v>2024</v>
      </c>
    </row>
    <row r="103" spans="1:5" hidden="1" x14ac:dyDescent="0.25">
      <c r="A103" t="s">
        <v>25</v>
      </c>
      <c r="B103" s="1">
        <v>45261</v>
      </c>
      <c r="C103" s="2">
        <v>671.66669999999999</v>
      </c>
      <c r="D103" t="s">
        <v>52</v>
      </c>
      <c r="E103">
        <v>2023</v>
      </c>
    </row>
    <row r="104" spans="1:5" hidden="1" x14ac:dyDescent="0.25">
      <c r="A104" t="s">
        <v>25</v>
      </c>
      <c r="B104" s="1">
        <v>45139</v>
      </c>
      <c r="C104" s="2">
        <v>642.5</v>
      </c>
      <c r="D104" t="s">
        <v>50</v>
      </c>
      <c r="E104">
        <v>2023</v>
      </c>
    </row>
    <row r="105" spans="1:5" hidden="1" x14ac:dyDescent="0.25">
      <c r="A105" t="s">
        <v>25</v>
      </c>
      <c r="B105" s="1">
        <v>45170</v>
      </c>
      <c r="C105" s="2">
        <v>636.66669999999999</v>
      </c>
      <c r="D105" t="s">
        <v>51</v>
      </c>
      <c r="E105">
        <v>2023</v>
      </c>
    </row>
    <row r="106" spans="1:5" hidden="1" x14ac:dyDescent="0.25">
      <c r="A106" t="s">
        <v>25</v>
      </c>
      <c r="B106" s="1">
        <v>45200</v>
      </c>
      <c r="C106" s="2">
        <v>633.33330000000001</v>
      </c>
      <c r="D106" t="s">
        <v>49</v>
      </c>
      <c r="E106">
        <v>2023</v>
      </c>
    </row>
    <row r="107" spans="1:5" hidden="1" x14ac:dyDescent="0.25">
      <c r="A107" t="s">
        <v>25</v>
      </c>
      <c r="B107" s="1">
        <v>45108</v>
      </c>
      <c r="C107" s="2">
        <v>558.75</v>
      </c>
      <c r="D107" t="s">
        <v>47</v>
      </c>
      <c r="E107">
        <v>2023</v>
      </c>
    </row>
    <row r="108" spans="1:5" hidden="1" x14ac:dyDescent="0.25">
      <c r="A108" t="s">
        <v>25</v>
      </c>
      <c r="B108" s="1">
        <v>45078</v>
      </c>
      <c r="C108" s="2">
        <v>541</v>
      </c>
      <c r="D108" t="s">
        <v>48</v>
      </c>
      <c r="E108">
        <v>2023</v>
      </c>
    </row>
    <row r="109" spans="1:5" hidden="1" x14ac:dyDescent="0.25">
      <c r="A109" t="s">
        <v>25</v>
      </c>
      <c r="B109" s="1">
        <v>44927</v>
      </c>
      <c r="C109" s="2">
        <v>319</v>
      </c>
      <c r="D109" t="s">
        <v>5</v>
      </c>
      <c r="E109">
        <v>2023</v>
      </c>
    </row>
    <row r="110" spans="1:5" hidden="1" x14ac:dyDescent="0.25">
      <c r="A110" t="s">
        <v>25</v>
      </c>
      <c r="B110" s="1">
        <v>44986</v>
      </c>
      <c r="C110" s="2">
        <v>305.55560000000003</v>
      </c>
      <c r="D110" t="s">
        <v>13</v>
      </c>
      <c r="E110">
        <v>2023</v>
      </c>
    </row>
    <row r="111" spans="1:5" hidden="1" x14ac:dyDescent="0.25">
      <c r="A111" t="s">
        <v>25</v>
      </c>
      <c r="B111" s="1">
        <v>44958</v>
      </c>
      <c r="C111" s="2">
        <v>255.5</v>
      </c>
      <c r="D111" t="s">
        <v>16</v>
      </c>
      <c r="E111">
        <v>2023</v>
      </c>
    </row>
    <row r="112" spans="1:5" hidden="1" x14ac:dyDescent="0.25">
      <c r="A112" t="s">
        <v>25</v>
      </c>
      <c r="B112" s="1">
        <v>45047</v>
      </c>
      <c r="C112" s="2">
        <v>239</v>
      </c>
      <c r="D112" t="s">
        <v>9</v>
      </c>
      <c r="E112">
        <v>2023</v>
      </c>
    </row>
    <row r="113" spans="1:5" hidden="1" x14ac:dyDescent="0.25">
      <c r="A113" t="s">
        <v>25</v>
      </c>
      <c r="B113" s="1">
        <v>45017</v>
      </c>
      <c r="C113" s="2">
        <v>212</v>
      </c>
      <c r="D113" t="s">
        <v>11</v>
      </c>
      <c r="E113">
        <v>2023</v>
      </c>
    </row>
    <row r="114" spans="1:5" x14ac:dyDescent="0.25">
      <c r="A114" t="s">
        <v>20</v>
      </c>
      <c r="B114" s="1">
        <v>45566</v>
      </c>
      <c r="C114" s="2">
        <v>1283.125</v>
      </c>
      <c r="D114" t="s">
        <v>49</v>
      </c>
      <c r="E114">
        <v>2024</v>
      </c>
    </row>
    <row r="115" spans="1:5" x14ac:dyDescent="0.25">
      <c r="A115" t="s">
        <v>20</v>
      </c>
      <c r="B115" s="1">
        <v>45597</v>
      </c>
      <c r="C115" s="2">
        <v>1270.75</v>
      </c>
      <c r="D115" t="s">
        <v>53</v>
      </c>
      <c r="E115">
        <v>2024</v>
      </c>
    </row>
    <row r="116" spans="1:5" hidden="1" x14ac:dyDescent="0.25">
      <c r="A116" t="s">
        <v>20</v>
      </c>
      <c r="B116" s="1">
        <v>45748</v>
      </c>
      <c r="C116" s="2">
        <v>1240.6882000000001</v>
      </c>
      <c r="D116" t="s">
        <v>11</v>
      </c>
      <c r="E116">
        <v>2025</v>
      </c>
    </row>
    <row r="117" spans="1:5" x14ac:dyDescent="0.25">
      <c r="A117" t="s">
        <v>20</v>
      </c>
      <c r="B117" s="1">
        <v>45627</v>
      </c>
      <c r="C117" s="2">
        <v>1238.7610999999999</v>
      </c>
      <c r="D117" t="s">
        <v>52</v>
      </c>
      <c r="E117">
        <v>2024</v>
      </c>
    </row>
    <row r="118" spans="1:5" hidden="1" x14ac:dyDescent="0.25">
      <c r="A118" t="s">
        <v>20</v>
      </c>
      <c r="B118" s="1">
        <v>45717</v>
      </c>
      <c r="C118" s="2">
        <v>1142.4487999999999</v>
      </c>
      <c r="D118" t="s">
        <v>13</v>
      </c>
      <c r="E118">
        <v>2025</v>
      </c>
    </row>
    <row r="119" spans="1:5" x14ac:dyDescent="0.25">
      <c r="A119" t="s">
        <v>20</v>
      </c>
      <c r="B119" s="1">
        <v>45536</v>
      </c>
      <c r="C119" s="2">
        <v>1084.1572000000001</v>
      </c>
      <c r="D119" t="s">
        <v>51</v>
      </c>
      <c r="E119">
        <v>2024</v>
      </c>
    </row>
    <row r="120" spans="1:5" hidden="1" x14ac:dyDescent="0.25">
      <c r="A120" t="s">
        <v>20</v>
      </c>
      <c r="B120" s="1">
        <v>45658</v>
      </c>
      <c r="C120" s="2">
        <v>1080</v>
      </c>
      <c r="D120" t="s">
        <v>5</v>
      </c>
      <c r="E120">
        <v>2025</v>
      </c>
    </row>
    <row r="121" spans="1:5" hidden="1" x14ac:dyDescent="0.25">
      <c r="A121" t="s">
        <v>20</v>
      </c>
      <c r="B121" s="1">
        <v>45689</v>
      </c>
      <c r="C121" s="2">
        <v>1021.6667</v>
      </c>
      <c r="D121" t="s">
        <v>16</v>
      </c>
      <c r="E121">
        <v>2025</v>
      </c>
    </row>
    <row r="122" spans="1:5" x14ac:dyDescent="0.25">
      <c r="A122" t="s">
        <v>20</v>
      </c>
      <c r="B122" s="1">
        <v>45505</v>
      </c>
      <c r="C122" s="2">
        <v>883.73040000000003</v>
      </c>
      <c r="D122" t="s">
        <v>50</v>
      </c>
      <c r="E122">
        <v>2024</v>
      </c>
    </row>
    <row r="123" spans="1:5" x14ac:dyDescent="0.25">
      <c r="A123" t="s">
        <v>20</v>
      </c>
      <c r="B123" s="1">
        <v>45474</v>
      </c>
      <c r="C123" s="2">
        <v>781.99450000000002</v>
      </c>
      <c r="D123" t="s">
        <v>47</v>
      </c>
      <c r="E123">
        <v>2024</v>
      </c>
    </row>
    <row r="124" spans="1:5" x14ac:dyDescent="0.25">
      <c r="A124" t="s">
        <v>20</v>
      </c>
      <c r="B124" s="1">
        <v>45444</v>
      </c>
      <c r="C124" s="2">
        <v>779.41959999999995</v>
      </c>
      <c r="D124" t="s">
        <v>48</v>
      </c>
      <c r="E124">
        <v>2024</v>
      </c>
    </row>
    <row r="125" spans="1:5" x14ac:dyDescent="0.25">
      <c r="A125" t="s">
        <v>20</v>
      </c>
      <c r="B125" s="1">
        <v>45413</v>
      </c>
      <c r="C125" s="2">
        <v>766.94439999999997</v>
      </c>
      <c r="D125" t="s">
        <v>9</v>
      </c>
      <c r="E125">
        <v>2024</v>
      </c>
    </row>
    <row r="126" spans="1:5" x14ac:dyDescent="0.25">
      <c r="A126" t="s">
        <v>20</v>
      </c>
      <c r="B126" s="1">
        <v>45383</v>
      </c>
      <c r="C126" s="2">
        <v>707.85709999999995</v>
      </c>
      <c r="D126" t="s">
        <v>11</v>
      </c>
      <c r="E126">
        <v>2024</v>
      </c>
    </row>
    <row r="127" spans="1:5" x14ac:dyDescent="0.25">
      <c r="A127" t="s">
        <v>20</v>
      </c>
      <c r="B127" s="1">
        <v>45352</v>
      </c>
      <c r="C127" s="2">
        <v>701.25</v>
      </c>
      <c r="D127" t="s">
        <v>13</v>
      </c>
      <c r="E127">
        <v>2024</v>
      </c>
    </row>
    <row r="128" spans="1:5" x14ac:dyDescent="0.25">
      <c r="A128" t="s">
        <v>20</v>
      </c>
      <c r="B128" s="1">
        <v>45323</v>
      </c>
      <c r="C128" s="2">
        <v>685.17</v>
      </c>
      <c r="D128" t="s">
        <v>16</v>
      </c>
      <c r="E128">
        <v>2024</v>
      </c>
    </row>
    <row r="129" spans="1:5" x14ac:dyDescent="0.25">
      <c r="A129" t="s">
        <v>20</v>
      </c>
      <c r="B129" s="1">
        <v>45292</v>
      </c>
      <c r="C129" s="2">
        <v>680</v>
      </c>
      <c r="D129" t="s">
        <v>5</v>
      </c>
      <c r="E129">
        <v>2024</v>
      </c>
    </row>
    <row r="130" spans="1:5" hidden="1" x14ac:dyDescent="0.25">
      <c r="A130" t="s">
        <v>20</v>
      </c>
      <c r="B130" s="1">
        <v>45261</v>
      </c>
      <c r="C130" s="2">
        <v>680</v>
      </c>
      <c r="D130" t="s">
        <v>52</v>
      </c>
      <c r="E130">
        <v>2023</v>
      </c>
    </row>
    <row r="131" spans="1:5" hidden="1" x14ac:dyDescent="0.25">
      <c r="A131" t="s">
        <v>20</v>
      </c>
      <c r="B131" s="1">
        <v>45231</v>
      </c>
      <c r="C131" s="2">
        <v>659.16669999999999</v>
      </c>
      <c r="D131" t="s">
        <v>53</v>
      </c>
      <c r="E131">
        <v>2023</v>
      </c>
    </row>
    <row r="132" spans="1:5" hidden="1" x14ac:dyDescent="0.25">
      <c r="A132" t="s">
        <v>20</v>
      </c>
      <c r="B132" s="1">
        <v>45200</v>
      </c>
      <c r="C132" s="2">
        <v>623.66669999999999</v>
      </c>
      <c r="D132" t="s">
        <v>49</v>
      </c>
      <c r="E132">
        <v>2023</v>
      </c>
    </row>
    <row r="133" spans="1:5" hidden="1" x14ac:dyDescent="0.25">
      <c r="A133" t="s">
        <v>20</v>
      </c>
      <c r="B133" s="1">
        <v>45139</v>
      </c>
      <c r="C133" s="2">
        <v>620.46669999999995</v>
      </c>
      <c r="D133" t="s">
        <v>50</v>
      </c>
      <c r="E133">
        <v>2023</v>
      </c>
    </row>
    <row r="134" spans="1:5" hidden="1" x14ac:dyDescent="0.25">
      <c r="A134" t="s">
        <v>20</v>
      </c>
      <c r="B134" s="1">
        <v>45170</v>
      </c>
      <c r="C134" s="2">
        <v>619.23080000000004</v>
      </c>
      <c r="D134" t="s">
        <v>51</v>
      </c>
      <c r="E134">
        <v>2023</v>
      </c>
    </row>
    <row r="135" spans="1:5" hidden="1" x14ac:dyDescent="0.25">
      <c r="A135" t="s">
        <v>20</v>
      </c>
      <c r="B135" s="1">
        <v>45108</v>
      </c>
      <c r="C135" s="2">
        <v>613.08330000000001</v>
      </c>
      <c r="D135" t="s">
        <v>47</v>
      </c>
      <c r="E135">
        <v>2023</v>
      </c>
    </row>
    <row r="136" spans="1:5" hidden="1" x14ac:dyDescent="0.25">
      <c r="A136" t="s">
        <v>20</v>
      </c>
      <c r="B136" s="1">
        <v>45078</v>
      </c>
      <c r="C136" s="2">
        <v>534.44439999999997</v>
      </c>
      <c r="D136" t="s">
        <v>48</v>
      </c>
      <c r="E136">
        <v>2023</v>
      </c>
    </row>
    <row r="137" spans="1:5" hidden="1" x14ac:dyDescent="0.25">
      <c r="A137" t="s">
        <v>20</v>
      </c>
      <c r="B137" s="1">
        <v>44958</v>
      </c>
      <c r="C137" s="2">
        <v>310.83330000000001</v>
      </c>
      <c r="D137" t="s">
        <v>16</v>
      </c>
      <c r="E137">
        <v>2023</v>
      </c>
    </row>
    <row r="138" spans="1:5" hidden="1" x14ac:dyDescent="0.25">
      <c r="A138" t="s">
        <v>20</v>
      </c>
      <c r="B138" s="1">
        <v>44927</v>
      </c>
      <c r="C138" s="2">
        <v>306.94439999999997</v>
      </c>
      <c r="D138" t="s">
        <v>5</v>
      </c>
      <c r="E138">
        <v>2023</v>
      </c>
    </row>
    <row r="139" spans="1:5" hidden="1" x14ac:dyDescent="0.25">
      <c r="A139" t="s">
        <v>20</v>
      </c>
      <c r="B139" s="1">
        <v>44986</v>
      </c>
      <c r="C139" s="2">
        <v>286.11110000000002</v>
      </c>
      <c r="D139" t="s">
        <v>13</v>
      </c>
      <c r="E139">
        <v>2023</v>
      </c>
    </row>
    <row r="140" spans="1:5" hidden="1" x14ac:dyDescent="0.25">
      <c r="A140" t="s">
        <v>20</v>
      </c>
      <c r="B140" s="1">
        <v>45047</v>
      </c>
      <c r="C140" s="2">
        <v>224.28569999999999</v>
      </c>
      <c r="D140" t="s">
        <v>9</v>
      </c>
      <c r="E140">
        <v>2023</v>
      </c>
    </row>
    <row r="141" spans="1:5" hidden="1" x14ac:dyDescent="0.25">
      <c r="A141" t="s">
        <v>20</v>
      </c>
      <c r="B141" s="1">
        <v>45017</v>
      </c>
      <c r="C141" s="2">
        <v>207.5</v>
      </c>
      <c r="D141" t="s">
        <v>11</v>
      </c>
      <c r="E141">
        <v>2023</v>
      </c>
    </row>
    <row r="142" spans="1:5" hidden="1" x14ac:dyDescent="0.25">
      <c r="A142" t="s">
        <v>40</v>
      </c>
      <c r="B142" s="1">
        <v>45717</v>
      </c>
      <c r="C142" s="2">
        <v>1261.6458</v>
      </c>
      <c r="D142" t="s">
        <v>13</v>
      </c>
      <c r="E142">
        <v>2025</v>
      </c>
    </row>
    <row r="143" spans="1:5" hidden="1" x14ac:dyDescent="0.25">
      <c r="A143" t="s">
        <v>40</v>
      </c>
      <c r="B143" s="1">
        <v>45658</v>
      </c>
      <c r="C143" s="2">
        <v>1258.3445999999999</v>
      </c>
      <c r="D143" t="s">
        <v>5</v>
      </c>
      <c r="E143">
        <v>2025</v>
      </c>
    </row>
    <row r="144" spans="1:5" hidden="1" x14ac:dyDescent="0.25">
      <c r="A144" t="s">
        <v>40</v>
      </c>
      <c r="B144" s="1">
        <v>45689</v>
      </c>
      <c r="C144" s="2">
        <v>1245.8010999999999</v>
      </c>
      <c r="D144" t="s">
        <v>16</v>
      </c>
      <c r="E144">
        <v>2025</v>
      </c>
    </row>
    <row r="145" spans="1:5" hidden="1" x14ac:dyDescent="0.25">
      <c r="A145" t="s">
        <v>40</v>
      </c>
      <c r="B145" s="1">
        <v>45748</v>
      </c>
      <c r="C145" s="2">
        <v>1239.3271</v>
      </c>
      <c r="D145" t="s">
        <v>11</v>
      </c>
      <c r="E145">
        <v>2025</v>
      </c>
    </row>
    <row r="146" spans="1:5" x14ac:dyDescent="0.25">
      <c r="A146" t="s">
        <v>40</v>
      </c>
      <c r="B146" s="1">
        <v>45597</v>
      </c>
      <c r="C146" s="2">
        <v>1214.1675</v>
      </c>
      <c r="D146" t="s">
        <v>53</v>
      </c>
      <c r="E146">
        <v>2024</v>
      </c>
    </row>
    <row r="147" spans="1:5" x14ac:dyDescent="0.25">
      <c r="A147" t="s">
        <v>40</v>
      </c>
      <c r="B147" s="1">
        <v>45627</v>
      </c>
      <c r="C147" s="2">
        <v>1189.1212</v>
      </c>
      <c r="D147" t="s">
        <v>52</v>
      </c>
      <c r="E147">
        <v>2024</v>
      </c>
    </row>
    <row r="148" spans="1:5" x14ac:dyDescent="0.25">
      <c r="A148" t="s">
        <v>40</v>
      </c>
      <c r="B148" s="1">
        <v>45566</v>
      </c>
      <c r="C148" s="2">
        <v>1184.8253999999999</v>
      </c>
      <c r="D148" t="s">
        <v>49</v>
      </c>
      <c r="E148">
        <v>2024</v>
      </c>
    </row>
    <row r="149" spans="1:5" x14ac:dyDescent="0.25">
      <c r="A149" t="s">
        <v>40</v>
      </c>
      <c r="B149" s="1">
        <v>45536</v>
      </c>
      <c r="C149" s="2">
        <v>1030.4634000000001</v>
      </c>
      <c r="D149" t="s">
        <v>51</v>
      </c>
      <c r="E149">
        <v>2024</v>
      </c>
    </row>
    <row r="150" spans="1:5" x14ac:dyDescent="0.25">
      <c r="A150" t="s">
        <v>40</v>
      </c>
      <c r="B150" s="1">
        <v>45505</v>
      </c>
      <c r="C150" s="2">
        <v>830.45500000000004</v>
      </c>
      <c r="D150" t="s">
        <v>50</v>
      </c>
      <c r="E150">
        <v>2024</v>
      </c>
    </row>
    <row r="151" spans="1:5" x14ac:dyDescent="0.25">
      <c r="A151" t="s">
        <v>40</v>
      </c>
      <c r="B151" s="1">
        <v>45474</v>
      </c>
      <c r="C151" s="2">
        <v>770.54190000000006</v>
      </c>
      <c r="D151" t="s">
        <v>47</v>
      </c>
      <c r="E151">
        <v>2024</v>
      </c>
    </row>
    <row r="152" spans="1:5" x14ac:dyDescent="0.25">
      <c r="A152" t="s">
        <v>40</v>
      </c>
      <c r="B152" s="1">
        <v>45413</v>
      </c>
      <c r="C152" s="2">
        <v>769.61699999999996</v>
      </c>
      <c r="D152" t="s">
        <v>9</v>
      </c>
      <c r="E152">
        <v>2024</v>
      </c>
    </row>
    <row r="153" spans="1:5" x14ac:dyDescent="0.25">
      <c r="A153" t="s">
        <v>40</v>
      </c>
      <c r="B153" s="1">
        <v>45444</v>
      </c>
      <c r="C153" s="2">
        <v>750.17229999999995</v>
      </c>
      <c r="D153" t="s">
        <v>48</v>
      </c>
      <c r="E153">
        <v>2024</v>
      </c>
    </row>
    <row r="154" spans="1:5" x14ac:dyDescent="0.25">
      <c r="A154" t="s">
        <v>40</v>
      </c>
      <c r="B154" s="1">
        <v>45383</v>
      </c>
      <c r="C154" s="2">
        <v>701.24440000000004</v>
      </c>
      <c r="D154" t="s">
        <v>11</v>
      </c>
      <c r="E154">
        <v>2024</v>
      </c>
    </row>
    <row r="155" spans="1:5" x14ac:dyDescent="0.25">
      <c r="A155" t="s">
        <v>40</v>
      </c>
      <c r="B155" s="1">
        <v>45352</v>
      </c>
      <c r="C155" s="2">
        <v>696.78719999999998</v>
      </c>
      <c r="D155" t="s">
        <v>13</v>
      </c>
      <c r="E155">
        <v>2024</v>
      </c>
    </row>
    <row r="156" spans="1:5" x14ac:dyDescent="0.25">
      <c r="A156" t="s">
        <v>40</v>
      </c>
      <c r="B156" s="1">
        <v>45323</v>
      </c>
      <c r="C156" s="2">
        <v>679.36450000000002</v>
      </c>
      <c r="D156" t="s">
        <v>16</v>
      </c>
      <c r="E156">
        <v>2024</v>
      </c>
    </row>
    <row r="157" spans="1:5" hidden="1" x14ac:dyDescent="0.25">
      <c r="A157" t="s">
        <v>40</v>
      </c>
      <c r="B157" s="1">
        <v>45261</v>
      </c>
      <c r="C157" s="2">
        <v>671.85820000000001</v>
      </c>
      <c r="D157" t="s">
        <v>52</v>
      </c>
      <c r="E157">
        <v>2023</v>
      </c>
    </row>
    <row r="158" spans="1:5" x14ac:dyDescent="0.25">
      <c r="A158" t="s">
        <v>40</v>
      </c>
      <c r="B158" s="1">
        <v>45292</v>
      </c>
      <c r="C158" s="2">
        <v>668.29660000000001</v>
      </c>
      <c r="D158" t="s">
        <v>5</v>
      </c>
      <c r="E158">
        <v>2024</v>
      </c>
    </row>
    <row r="159" spans="1:5" hidden="1" x14ac:dyDescent="0.25">
      <c r="A159" t="s">
        <v>40</v>
      </c>
      <c r="B159" s="1">
        <v>45231</v>
      </c>
      <c r="C159" s="2">
        <v>648.93359999999996</v>
      </c>
      <c r="D159" t="s">
        <v>53</v>
      </c>
      <c r="E159">
        <v>2023</v>
      </c>
    </row>
    <row r="160" spans="1:5" hidden="1" x14ac:dyDescent="0.25">
      <c r="A160" t="s">
        <v>40</v>
      </c>
      <c r="B160" s="1">
        <v>45200</v>
      </c>
      <c r="C160" s="2">
        <v>630.63440000000003</v>
      </c>
      <c r="D160" t="s">
        <v>49</v>
      </c>
      <c r="E160">
        <v>2023</v>
      </c>
    </row>
    <row r="161" spans="1:5" hidden="1" x14ac:dyDescent="0.25">
      <c r="A161" t="s">
        <v>40</v>
      </c>
      <c r="B161" s="1">
        <v>45139</v>
      </c>
      <c r="C161" s="2">
        <v>626.69979999999998</v>
      </c>
      <c r="D161" t="s">
        <v>50</v>
      </c>
      <c r="E161">
        <v>2023</v>
      </c>
    </row>
    <row r="162" spans="1:5" hidden="1" x14ac:dyDescent="0.25">
      <c r="A162" t="s">
        <v>40</v>
      </c>
      <c r="B162" s="1">
        <v>45170</v>
      </c>
      <c r="C162" s="2">
        <v>626.21220000000005</v>
      </c>
      <c r="D162" t="s">
        <v>51</v>
      </c>
      <c r="E162">
        <v>2023</v>
      </c>
    </row>
    <row r="163" spans="1:5" hidden="1" x14ac:dyDescent="0.25">
      <c r="A163" t="s">
        <v>40</v>
      </c>
      <c r="B163" s="1">
        <v>45108</v>
      </c>
      <c r="C163" s="2">
        <v>600.34749999999997</v>
      </c>
      <c r="D163" t="s">
        <v>47</v>
      </c>
      <c r="E163">
        <v>2023</v>
      </c>
    </row>
    <row r="164" spans="1:5" hidden="1" x14ac:dyDescent="0.25">
      <c r="A164" t="s">
        <v>40</v>
      </c>
      <c r="B164" s="1">
        <v>45078</v>
      </c>
      <c r="C164" s="2">
        <v>545.82740000000001</v>
      </c>
      <c r="D164" t="s">
        <v>48</v>
      </c>
      <c r="E164">
        <v>2023</v>
      </c>
    </row>
    <row r="165" spans="1:5" hidden="1" x14ac:dyDescent="0.25">
      <c r="A165" t="s">
        <v>40</v>
      </c>
      <c r="B165" s="1">
        <v>44986</v>
      </c>
      <c r="C165" s="2">
        <v>264.28960000000001</v>
      </c>
      <c r="D165" t="s">
        <v>13</v>
      </c>
      <c r="E165">
        <v>2023</v>
      </c>
    </row>
    <row r="166" spans="1:5" hidden="1" x14ac:dyDescent="0.25">
      <c r="A166" t="s">
        <v>40</v>
      </c>
      <c r="B166" s="1">
        <v>44958</v>
      </c>
      <c r="C166" s="2">
        <v>263.75569999999999</v>
      </c>
      <c r="D166" t="s">
        <v>16</v>
      </c>
      <c r="E166">
        <v>2023</v>
      </c>
    </row>
    <row r="167" spans="1:5" hidden="1" x14ac:dyDescent="0.25">
      <c r="A167" t="s">
        <v>40</v>
      </c>
      <c r="B167" s="1"/>
      <c r="C167" s="2">
        <v>257.11869999999999</v>
      </c>
    </row>
    <row r="168" spans="1:5" hidden="1" x14ac:dyDescent="0.25">
      <c r="A168" t="s">
        <v>40</v>
      </c>
      <c r="B168" s="1">
        <v>45017</v>
      </c>
      <c r="C168" s="2">
        <v>254.05619999999999</v>
      </c>
      <c r="D168" t="s">
        <v>11</v>
      </c>
      <c r="E168">
        <v>2023</v>
      </c>
    </row>
    <row r="169" spans="1:5" hidden="1" x14ac:dyDescent="0.25">
      <c r="A169" t="s">
        <v>40</v>
      </c>
      <c r="B169" s="1">
        <v>45047</v>
      </c>
      <c r="C169" s="2">
        <v>238.11330000000001</v>
      </c>
      <c r="D169" t="s">
        <v>9</v>
      </c>
      <c r="E169">
        <v>2023</v>
      </c>
    </row>
    <row r="170" spans="1:5" hidden="1" x14ac:dyDescent="0.25">
      <c r="A170" t="s">
        <v>18</v>
      </c>
      <c r="B170" s="1">
        <v>45658</v>
      </c>
      <c r="C170" s="2">
        <v>1225</v>
      </c>
      <c r="D170" t="s">
        <v>5</v>
      </c>
      <c r="E170">
        <v>2025</v>
      </c>
    </row>
    <row r="171" spans="1:5" x14ac:dyDescent="0.25">
      <c r="A171" t="s">
        <v>18</v>
      </c>
      <c r="B171" s="1">
        <v>45566</v>
      </c>
      <c r="C171" s="2">
        <v>1194.2856999999999</v>
      </c>
      <c r="D171" t="s">
        <v>49</v>
      </c>
      <c r="E171">
        <v>2024</v>
      </c>
    </row>
    <row r="172" spans="1:5" hidden="1" x14ac:dyDescent="0.25">
      <c r="A172" t="s">
        <v>18</v>
      </c>
      <c r="B172" s="1">
        <v>45748</v>
      </c>
      <c r="C172" s="2">
        <v>1186.9822999999999</v>
      </c>
      <c r="D172" t="s">
        <v>11</v>
      </c>
      <c r="E172">
        <v>2025</v>
      </c>
    </row>
    <row r="173" spans="1:5" x14ac:dyDescent="0.25">
      <c r="A173" t="s">
        <v>18</v>
      </c>
      <c r="B173" s="1">
        <v>45627</v>
      </c>
      <c r="C173" s="2">
        <v>1183.4773</v>
      </c>
      <c r="D173" t="s">
        <v>52</v>
      </c>
      <c r="E173">
        <v>2024</v>
      </c>
    </row>
    <row r="174" spans="1:5" x14ac:dyDescent="0.25">
      <c r="A174" t="s">
        <v>18</v>
      </c>
      <c r="B174" s="1">
        <v>45597</v>
      </c>
      <c r="C174" s="2">
        <v>1181.6922999999999</v>
      </c>
      <c r="D174" t="s">
        <v>53</v>
      </c>
      <c r="E174">
        <v>2024</v>
      </c>
    </row>
    <row r="175" spans="1:5" hidden="1" x14ac:dyDescent="0.25">
      <c r="A175" t="s">
        <v>18</v>
      </c>
      <c r="B175" s="1">
        <v>45717</v>
      </c>
      <c r="C175" s="2">
        <v>1125.549</v>
      </c>
      <c r="D175" t="s">
        <v>13</v>
      </c>
      <c r="E175">
        <v>2025</v>
      </c>
    </row>
    <row r="176" spans="1:5" hidden="1" x14ac:dyDescent="0.25">
      <c r="A176" t="s">
        <v>18</v>
      </c>
      <c r="B176" s="1">
        <v>45689</v>
      </c>
      <c r="C176" s="2">
        <v>1090</v>
      </c>
      <c r="D176" t="s">
        <v>16</v>
      </c>
      <c r="E176">
        <v>2025</v>
      </c>
    </row>
    <row r="177" spans="1:5" x14ac:dyDescent="0.25">
      <c r="A177" t="s">
        <v>18</v>
      </c>
      <c r="B177" s="1">
        <v>45536</v>
      </c>
      <c r="C177" s="2">
        <v>1043.9091000000001</v>
      </c>
      <c r="D177" t="s">
        <v>51</v>
      </c>
      <c r="E177">
        <v>2024</v>
      </c>
    </row>
    <row r="178" spans="1:5" x14ac:dyDescent="0.25">
      <c r="A178" t="s">
        <v>18</v>
      </c>
      <c r="B178" s="1">
        <v>45505</v>
      </c>
      <c r="C178" s="2">
        <v>935.71429999999998</v>
      </c>
      <c r="D178" t="s">
        <v>50</v>
      </c>
      <c r="E178">
        <v>2024</v>
      </c>
    </row>
    <row r="179" spans="1:5" x14ac:dyDescent="0.25">
      <c r="A179" t="s">
        <v>18</v>
      </c>
      <c r="B179" s="1">
        <v>45474</v>
      </c>
      <c r="C179" s="2">
        <v>816.25</v>
      </c>
      <c r="D179" t="s">
        <v>47</v>
      </c>
      <c r="E179">
        <v>2024</v>
      </c>
    </row>
    <row r="180" spans="1:5" x14ac:dyDescent="0.25">
      <c r="A180" t="s">
        <v>18</v>
      </c>
      <c r="B180" s="1">
        <v>45444</v>
      </c>
      <c r="C180" s="2">
        <v>718.75</v>
      </c>
      <c r="D180" t="s">
        <v>48</v>
      </c>
      <c r="E180">
        <v>2024</v>
      </c>
    </row>
    <row r="181" spans="1:5" x14ac:dyDescent="0.25">
      <c r="A181" t="s">
        <v>18</v>
      </c>
      <c r="B181" s="1">
        <v>45383</v>
      </c>
      <c r="C181" s="2">
        <v>718.75</v>
      </c>
      <c r="D181" t="s">
        <v>11</v>
      </c>
      <c r="E181">
        <v>2024</v>
      </c>
    </row>
    <row r="182" spans="1:5" x14ac:dyDescent="0.25">
      <c r="A182" t="s">
        <v>18</v>
      </c>
      <c r="B182" s="1">
        <v>45352</v>
      </c>
      <c r="C182" s="2">
        <v>707.14290000000005</v>
      </c>
      <c r="D182" t="s">
        <v>13</v>
      </c>
      <c r="E182">
        <v>2024</v>
      </c>
    </row>
    <row r="183" spans="1:5" x14ac:dyDescent="0.25">
      <c r="A183" t="s">
        <v>18</v>
      </c>
      <c r="B183" s="1">
        <v>45413</v>
      </c>
      <c r="C183" s="2">
        <v>693.80560000000003</v>
      </c>
      <c r="D183" t="s">
        <v>9</v>
      </c>
      <c r="E183">
        <v>2024</v>
      </c>
    </row>
    <row r="184" spans="1:5" x14ac:dyDescent="0.25">
      <c r="A184" t="s">
        <v>18</v>
      </c>
      <c r="B184" s="1">
        <v>45323</v>
      </c>
      <c r="C184" s="2">
        <v>688.57140000000004</v>
      </c>
      <c r="D184" t="s">
        <v>16</v>
      </c>
      <c r="E184">
        <v>2024</v>
      </c>
    </row>
    <row r="185" spans="1:5" hidden="1" x14ac:dyDescent="0.25">
      <c r="A185" t="s">
        <v>18</v>
      </c>
      <c r="B185" s="1">
        <v>45261</v>
      </c>
      <c r="C185" s="2">
        <v>675.28570000000002</v>
      </c>
      <c r="D185" t="s">
        <v>52</v>
      </c>
      <c r="E185">
        <v>2023</v>
      </c>
    </row>
    <row r="186" spans="1:5" x14ac:dyDescent="0.25">
      <c r="A186" t="s">
        <v>18</v>
      </c>
      <c r="B186" s="1">
        <v>45292</v>
      </c>
      <c r="C186" s="2">
        <v>650</v>
      </c>
      <c r="D186" t="s">
        <v>5</v>
      </c>
      <c r="E186">
        <v>2024</v>
      </c>
    </row>
    <row r="187" spans="1:5" hidden="1" x14ac:dyDescent="0.25">
      <c r="A187" t="s">
        <v>18</v>
      </c>
      <c r="B187" s="1">
        <v>45231</v>
      </c>
      <c r="C187" s="2">
        <v>650</v>
      </c>
      <c r="D187" t="s">
        <v>53</v>
      </c>
      <c r="E187">
        <v>2023</v>
      </c>
    </row>
    <row r="188" spans="1:5" hidden="1" x14ac:dyDescent="0.25">
      <c r="A188" t="s">
        <v>18</v>
      </c>
      <c r="B188" s="1">
        <v>45200</v>
      </c>
      <c r="C188" s="2">
        <v>650</v>
      </c>
      <c r="D188" t="s">
        <v>49</v>
      </c>
      <c r="E188">
        <v>2023</v>
      </c>
    </row>
    <row r="189" spans="1:5" hidden="1" x14ac:dyDescent="0.25">
      <c r="A189" t="s">
        <v>18</v>
      </c>
      <c r="B189" s="1">
        <v>45139</v>
      </c>
      <c r="C189" s="2">
        <v>627.11109999999996</v>
      </c>
      <c r="D189" t="s">
        <v>50</v>
      </c>
      <c r="E189">
        <v>2023</v>
      </c>
    </row>
    <row r="190" spans="1:5" hidden="1" x14ac:dyDescent="0.25">
      <c r="A190" t="s">
        <v>18</v>
      </c>
      <c r="B190" s="1">
        <v>45170</v>
      </c>
      <c r="C190" s="2">
        <v>626.375</v>
      </c>
      <c r="D190" t="s">
        <v>51</v>
      </c>
      <c r="E190">
        <v>2023</v>
      </c>
    </row>
    <row r="191" spans="1:5" hidden="1" x14ac:dyDescent="0.25">
      <c r="A191" t="s">
        <v>18</v>
      </c>
      <c r="B191" s="1">
        <v>45108</v>
      </c>
      <c r="C191" s="2">
        <v>617</v>
      </c>
      <c r="D191" t="s">
        <v>47</v>
      </c>
      <c r="E191">
        <v>2023</v>
      </c>
    </row>
    <row r="192" spans="1:5" hidden="1" x14ac:dyDescent="0.25">
      <c r="A192" t="s">
        <v>18</v>
      </c>
      <c r="B192" s="1">
        <v>45078</v>
      </c>
      <c r="C192" s="2">
        <v>547.77779999999996</v>
      </c>
      <c r="D192" t="s">
        <v>48</v>
      </c>
      <c r="E192">
        <v>2023</v>
      </c>
    </row>
    <row r="193" spans="1:5" hidden="1" x14ac:dyDescent="0.25">
      <c r="A193" t="s">
        <v>18</v>
      </c>
      <c r="B193" s="1">
        <v>44986</v>
      </c>
      <c r="C193" s="2">
        <v>273</v>
      </c>
      <c r="D193" t="s">
        <v>13</v>
      </c>
      <c r="E193">
        <v>2023</v>
      </c>
    </row>
    <row r="194" spans="1:5" hidden="1" x14ac:dyDescent="0.25">
      <c r="A194" t="s">
        <v>18</v>
      </c>
      <c r="B194" s="1">
        <v>44958</v>
      </c>
      <c r="C194" s="2">
        <v>250</v>
      </c>
      <c r="D194" t="s">
        <v>16</v>
      </c>
      <c r="E194">
        <v>2023</v>
      </c>
    </row>
    <row r="195" spans="1:5" hidden="1" x14ac:dyDescent="0.25">
      <c r="A195" t="s">
        <v>18</v>
      </c>
      <c r="B195" s="1">
        <v>44927</v>
      </c>
      <c r="C195" s="2">
        <v>245.4</v>
      </c>
      <c r="D195" t="s">
        <v>5</v>
      </c>
      <c r="E195">
        <v>2023</v>
      </c>
    </row>
    <row r="196" spans="1:5" hidden="1" x14ac:dyDescent="0.25">
      <c r="A196" t="s">
        <v>18</v>
      </c>
      <c r="B196" s="1">
        <v>45017</v>
      </c>
      <c r="C196" s="2">
        <v>208</v>
      </c>
      <c r="D196" t="s">
        <v>11</v>
      </c>
      <c r="E196">
        <v>2023</v>
      </c>
    </row>
    <row r="197" spans="1:5" hidden="1" x14ac:dyDescent="0.25">
      <c r="A197" t="s">
        <v>18</v>
      </c>
      <c r="B197" s="1">
        <v>45047</v>
      </c>
      <c r="C197" s="2">
        <v>205.5556</v>
      </c>
      <c r="D197" t="s">
        <v>9</v>
      </c>
      <c r="E197">
        <v>2023</v>
      </c>
    </row>
    <row r="198" spans="1:5" x14ac:dyDescent="0.25">
      <c r="A198" t="s">
        <v>22</v>
      </c>
      <c r="B198" s="1">
        <v>45566</v>
      </c>
      <c r="C198" s="2">
        <v>1250</v>
      </c>
      <c r="D198" t="s">
        <v>49</v>
      </c>
      <c r="E198">
        <v>2024</v>
      </c>
    </row>
    <row r="199" spans="1:5" x14ac:dyDescent="0.25">
      <c r="A199" t="s">
        <v>22</v>
      </c>
      <c r="B199" s="1">
        <v>45597</v>
      </c>
      <c r="C199" s="2">
        <v>1209.1667</v>
      </c>
      <c r="D199" t="s">
        <v>53</v>
      </c>
      <c r="E199">
        <v>2024</v>
      </c>
    </row>
    <row r="200" spans="1:5" hidden="1" x14ac:dyDescent="0.25">
      <c r="A200" t="s">
        <v>22</v>
      </c>
      <c r="B200" s="1">
        <v>45748</v>
      </c>
      <c r="C200" s="2">
        <v>1185.9000000000001</v>
      </c>
      <c r="D200" t="s">
        <v>11</v>
      </c>
      <c r="E200">
        <v>2025</v>
      </c>
    </row>
    <row r="201" spans="1:5" x14ac:dyDescent="0.25">
      <c r="A201" t="s">
        <v>22</v>
      </c>
      <c r="B201" s="1">
        <v>45627</v>
      </c>
      <c r="C201" s="2">
        <v>1161.875</v>
      </c>
      <c r="D201" t="s">
        <v>52</v>
      </c>
      <c r="E201">
        <v>2024</v>
      </c>
    </row>
    <row r="202" spans="1:5" x14ac:dyDescent="0.25">
      <c r="A202" t="s">
        <v>22</v>
      </c>
      <c r="B202" s="1">
        <v>45536</v>
      </c>
      <c r="C202" s="2">
        <v>1002.7273</v>
      </c>
      <c r="D202" t="s">
        <v>51</v>
      </c>
      <c r="E202">
        <v>2024</v>
      </c>
    </row>
    <row r="203" spans="1:5" hidden="1" x14ac:dyDescent="0.25">
      <c r="A203" t="s">
        <v>22</v>
      </c>
      <c r="B203" s="1">
        <v>45717</v>
      </c>
      <c r="C203" s="2">
        <v>1000</v>
      </c>
      <c r="D203" t="s">
        <v>13</v>
      </c>
      <c r="E203">
        <v>2025</v>
      </c>
    </row>
    <row r="204" spans="1:5" hidden="1" x14ac:dyDescent="0.25">
      <c r="A204" t="s">
        <v>22</v>
      </c>
      <c r="B204" s="1">
        <v>45689</v>
      </c>
      <c r="C204" s="2">
        <v>1000</v>
      </c>
      <c r="D204" t="s">
        <v>16</v>
      </c>
      <c r="E204">
        <v>2025</v>
      </c>
    </row>
    <row r="205" spans="1:5" hidden="1" x14ac:dyDescent="0.25">
      <c r="A205" t="s">
        <v>22</v>
      </c>
      <c r="B205" s="1">
        <v>45658</v>
      </c>
      <c r="C205" s="2">
        <v>1000</v>
      </c>
      <c r="D205" t="s">
        <v>5</v>
      </c>
      <c r="E205">
        <v>2025</v>
      </c>
    </row>
    <row r="206" spans="1:5" x14ac:dyDescent="0.25">
      <c r="A206" t="s">
        <v>22</v>
      </c>
      <c r="B206" s="1">
        <v>45444</v>
      </c>
      <c r="C206" s="2">
        <v>797.27269999999999</v>
      </c>
      <c r="D206" t="s">
        <v>48</v>
      </c>
      <c r="E206">
        <v>2024</v>
      </c>
    </row>
    <row r="207" spans="1:5" x14ac:dyDescent="0.25">
      <c r="A207" t="s">
        <v>22</v>
      </c>
      <c r="B207" s="1">
        <v>45413</v>
      </c>
      <c r="C207" s="2">
        <v>791</v>
      </c>
      <c r="D207" t="s">
        <v>9</v>
      </c>
      <c r="E207">
        <v>2024</v>
      </c>
    </row>
    <row r="208" spans="1:5" x14ac:dyDescent="0.25">
      <c r="A208" t="s">
        <v>22</v>
      </c>
      <c r="B208" s="1">
        <v>45352</v>
      </c>
      <c r="C208" s="2">
        <v>702</v>
      </c>
      <c r="D208" t="s">
        <v>13</v>
      </c>
      <c r="E208">
        <v>2024</v>
      </c>
    </row>
    <row r="209" spans="1:5" x14ac:dyDescent="0.25">
      <c r="A209" t="s">
        <v>22</v>
      </c>
      <c r="B209" s="1">
        <v>45383</v>
      </c>
      <c r="C209" s="2">
        <v>689</v>
      </c>
      <c r="D209" t="s">
        <v>11</v>
      </c>
      <c r="E209">
        <v>2024</v>
      </c>
    </row>
    <row r="210" spans="1:5" x14ac:dyDescent="0.25">
      <c r="A210" t="s">
        <v>22</v>
      </c>
      <c r="B210" s="1">
        <v>45474</v>
      </c>
      <c r="C210" s="2">
        <v>684</v>
      </c>
      <c r="D210" t="s">
        <v>47</v>
      </c>
      <c r="E210">
        <v>2024</v>
      </c>
    </row>
    <row r="211" spans="1:5" x14ac:dyDescent="0.25">
      <c r="A211" t="s">
        <v>22</v>
      </c>
      <c r="B211" s="1">
        <v>45505</v>
      </c>
      <c r="C211" s="2">
        <v>680</v>
      </c>
      <c r="D211" t="s">
        <v>50</v>
      </c>
      <c r="E211">
        <v>2024</v>
      </c>
    </row>
    <row r="212" spans="1:5" x14ac:dyDescent="0.25">
      <c r="A212" t="s">
        <v>22</v>
      </c>
      <c r="B212" s="1">
        <v>45323</v>
      </c>
      <c r="C212" s="2">
        <v>680</v>
      </c>
      <c r="D212" t="s">
        <v>16</v>
      </c>
      <c r="E212">
        <v>2024</v>
      </c>
    </row>
    <row r="213" spans="1:5" x14ac:dyDescent="0.25">
      <c r="A213" t="s">
        <v>22</v>
      </c>
      <c r="B213" s="1">
        <v>45292</v>
      </c>
      <c r="C213" s="2">
        <v>673</v>
      </c>
      <c r="D213" t="s">
        <v>5</v>
      </c>
      <c r="E213">
        <v>2024</v>
      </c>
    </row>
    <row r="214" spans="1:5" hidden="1" x14ac:dyDescent="0.25">
      <c r="A214" t="s">
        <v>22</v>
      </c>
      <c r="B214" s="1">
        <v>45261</v>
      </c>
      <c r="C214" s="2">
        <v>667.11109999999996</v>
      </c>
      <c r="D214" t="s">
        <v>52</v>
      </c>
      <c r="E214">
        <v>2023</v>
      </c>
    </row>
    <row r="215" spans="1:5" hidden="1" x14ac:dyDescent="0.25">
      <c r="A215" t="s">
        <v>22</v>
      </c>
      <c r="B215" s="1">
        <v>45231</v>
      </c>
      <c r="C215" s="2">
        <v>656.66669999999999</v>
      </c>
      <c r="D215" t="s">
        <v>53</v>
      </c>
      <c r="E215">
        <v>2023</v>
      </c>
    </row>
    <row r="216" spans="1:5" hidden="1" x14ac:dyDescent="0.25">
      <c r="A216" t="s">
        <v>22</v>
      </c>
      <c r="B216" s="1">
        <v>45200</v>
      </c>
      <c r="C216" s="2">
        <v>626.11109999999996</v>
      </c>
      <c r="D216" t="s">
        <v>49</v>
      </c>
      <c r="E216">
        <v>2023</v>
      </c>
    </row>
    <row r="217" spans="1:5" hidden="1" x14ac:dyDescent="0.25">
      <c r="A217" t="s">
        <v>22</v>
      </c>
      <c r="B217" s="1">
        <v>45170</v>
      </c>
      <c r="C217" s="2">
        <v>624</v>
      </c>
      <c r="D217" t="s">
        <v>51</v>
      </c>
      <c r="E217">
        <v>2023</v>
      </c>
    </row>
    <row r="218" spans="1:5" hidden="1" x14ac:dyDescent="0.25">
      <c r="A218" t="s">
        <v>22</v>
      </c>
      <c r="B218" s="1">
        <v>45139</v>
      </c>
      <c r="C218" s="2">
        <v>620.55560000000003</v>
      </c>
      <c r="D218" t="s">
        <v>50</v>
      </c>
      <c r="E218">
        <v>2023</v>
      </c>
    </row>
    <row r="219" spans="1:5" hidden="1" x14ac:dyDescent="0.25">
      <c r="A219" t="s">
        <v>22</v>
      </c>
      <c r="B219" s="1">
        <v>45108</v>
      </c>
      <c r="C219" s="2">
        <v>548</v>
      </c>
      <c r="D219" t="s">
        <v>47</v>
      </c>
      <c r="E219">
        <v>2023</v>
      </c>
    </row>
    <row r="220" spans="1:5" hidden="1" x14ac:dyDescent="0.25">
      <c r="A220" t="s">
        <v>22</v>
      </c>
      <c r="B220" s="1">
        <v>45078</v>
      </c>
      <c r="C220" s="2">
        <v>540.5</v>
      </c>
      <c r="D220" t="s">
        <v>48</v>
      </c>
      <c r="E220">
        <v>2023</v>
      </c>
    </row>
    <row r="221" spans="1:5" hidden="1" x14ac:dyDescent="0.25">
      <c r="A221" t="s">
        <v>22</v>
      </c>
      <c r="B221" s="1">
        <v>44927</v>
      </c>
      <c r="C221" s="2">
        <v>305</v>
      </c>
      <c r="D221" t="s">
        <v>5</v>
      </c>
      <c r="E221">
        <v>2023</v>
      </c>
    </row>
    <row r="222" spans="1:5" hidden="1" x14ac:dyDescent="0.25">
      <c r="A222" t="s">
        <v>22</v>
      </c>
      <c r="B222" s="1">
        <v>44986</v>
      </c>
      <c r="C222" s="2">
        <v>296.5</v>
      </c>
      <c r="D222" t="s">
        <v>13</v>
      </c>
      <c r="E222">
        <v>2023</v>
      </c>
    </row>
    <row r="223" spans="1:5" hidden="1" x14ac:dyDescent="0.25">
      <c r="A223" t="s">
        <v>22</v>
      </c>
      <c r="B223" s="1">
        <v>45047</v>
      </c>
      <c r="C223" s="2">
        <v>250</v>
      </c>
      <c r="D223" t="s">
        <v>9</v>
      </c>
      <c r="E223">
        <v>2023</v>
      </c>
    </row>
    <row r="224" spans="1:5" hidden="1" x14ac:dyDescent="0.25">
      <c r="A224" t="s">
        <v>22</v>
      </c>
      <c r="B224" s="1">
        <v>44958</v>
      </c>
      <c r="C224" s="2">
        <v>231.42859999999999</v>
      </c>
      <c r="D224" t="s">
        <v>16</v>
      </c>
      <c r="E224">
        <v>2023</v>
      </c>
    </row>
    <row r="225" spans="1:5" hidden="1" x14ac:dyDescent="0.25">
      <c r="A225" t="s">
        <v>22</v>
      </c>
      <c r="B225" s="1">
        <v>45017</v>
      </c>
      <c r="C225" s="2">
        <v>210</v>
      </c>
      <c r="D225" t="s">
        <v>11</v>
      </c>
      <c r="E225">
        <v>2023</v>
      </c>
    </row>
    <row r="226" spans="1:5" hidden="1" x14ac:dyDescent="0.25">
      <c r="A226" t="s">
        <v>12</v>
      </c>
      <c r="B226" s="1">
        <v>45717</v>
      </c>
      <c r="C226" s="2">
        <v>1451.6932999999999</v>
      </c>
      <c r="D226" t="s">
        <v>13</v>
      </c>
      <c r="E226">
        <v>2025</v>
      </c>
    </row>
    <row r="227" spans="1:5" hidden="1" x14ac:dyDescent="0.25">
      <c r="A227" t="s">
        <v>12</v>
      </c>
      <c r="B227" s="1">
        <v>45689</v>
      </c>
      <c r="C227" s="2">
        <v>1450</v>
      </c>
      <c r="D227" t="s">
        <v>16</v>
      </c>
      <c r="E227">
        <v>2025</v>
      </c>
    </row>
    <row r="228" spans="1:5" hidden="1" x14ac:dyDescent="0.25">
      <c r="A228" t="s">
        <v>12</v>
      </c>
      <c r="B228" s="1">
        <v>45658</v>
      </c>
      <c r="C228" s="2">
        <v>1411.1111000000001</v>
      </c>
      <c r="D228" t="s">
        <v>5</v>
      </c>
      <c r="E228">
        <v>2025</v>
      </c>
    </row>
    <row r="229" spans="1:5" x14ac:dyDescent="0.25">
      <c r="A229" t="s">
        <v>12</v>
      </c>
      <c r="B229" s="1">
        <v>45597</v>
      </c>
      <c r="C229" s="2">
        <v>1365.1629</v>
      </c>
      <c r="D229" t="s">
        <v>53</v>
      </c>
      <c r="E229">
        <v>2024</v>
      </c>
    </row>
    <row r="230" spans="1:5" hidden="1" x14ac:dyDescent="0.25">
      <c r="A230" t="s">
        <v>12</v>
      </c>
      <c r="B230" s="1">
        <v>45748</v>
      </c>
      <c r="C230" s="2">
        <v>1341.3434</v>
      </c>
      <c r="D230" t="s">
        <v>11</v>
      </c>
      <c r="E230">
        <v>2025</v>
      </c>
    </row>
    <row r="231" spans="1:5" x14ac:dyDescent="0.25">
      <c r="A231" t="s">
        <v>12</v>
      </c>
      <c r="B231" s="1">
        <v>45627</v>
      </c>
      <c r="C231" s="2">
        <v>1234.5454999999999</v>
      </c>
      <c r="D231" t="s">
        <v>52</v>
      </c>
      <c r="E231">
        <v>2024</v>
      </c>
    </row>
    <row r="232" spans="1:5" x14ac:dyDescent="0.25">
      <c r="A232" t="s">
        <v>12</v>
      </c>
      <c r="B232" s="1">
        <v>45566</v>
      </c>
      <c r="C232" s="2">
        <v>1127.3728000000001</v>
      </c>
      <c r="D232" t="s">
        <v>49</v>
      </c>
      <c r="E232">
        <v>2024</v>
      </c>
    </row>
    <row r="233" spans="1:5" x14ac:dyDescent="0.25">
      <c r="A233" t="s">
        <v>12</v>
      </c>
      <c r="B233" s="1">
        <v>45536</v>
      </c>
      <c r="C233" s="2">
        <v>1032.8784000000001</v>
      </c>
      <c r="D233" t="s">
        <v>51</v>
      </c>
      <c r="E233">
        <v>2024</v>
      </c>
    </row>
    <row r="234" spans="1:5" x14ac:dyDescent="0.25">
      <c r="A234" t="s">
        <v>12</v>
      </c>
      <c r="B234" s="1">
        <v>45505</v>
      </c>
      <c r="C234" s="2">
        <v>941.24220000000003</v>
      </c>
      <c r="D234" t="s">
        <v>50</v>
      </c>
      <c r="E234">
        <v>2024</v>
      </c>
    </row>
    <row r="235" spans="1:5" x14ac:dyDescent="0.25">
      <c r="A235" t="s">
        <v>12</v>
      </c>
      <c r="B235" s="1">
        <v>45413</v>
      </c>
      <c r="C235" s="2">
        <v>882.22220000000004</v>
      </c>
      <c r="D235" t="s">
        <v>9</v>
      </c>
      <c r="E235">
        <v>2024</v>
      </c>
    </row>
    <row r="236" spans="1:5" x14ac:dyDescent="0.25">
      <c r="A236" t="s">
        <v>12</v>
      </c>
      <c r="B236" s="1">
        <v>45444</v>
      </c>
      <c r="C236" s="2">
        <v>854.54549999999995</v>
      </c>
      <c r="D236" t="s">
        <v>48</v>
      </c>
      <c r="E236">
        <v>2024</v>
      </c>
    </row>
    <row r="237" spans="1:5" x14ac:dyDescent="0.25">
      <c r="A237" t="s">
        <v>12</v>
      </c>
      <c r="B237" s="1">
        <v>45474</v>
      </c>
      <c r="C237" s="2">
        <v>846.94579999999996</v>
      </c>
      <c r="D237" t="s">
        <v>47</v>
      </c>
      <c r="E237">
        <v>2024</v>
      </c>
    </row>
    <row r="238" spans="1:5" x14ac:dyDescent="0.25">
      <c r="A238" t="s">
        <v>12</v>
      </c>
      <c r="B238" s="1">
        <v>45383</v>
      </c>
      <c r="C238" s="2">
        <v>713.63639999999998</v>
      </c>
      <c r="D238" t="s">
        <v>11</v>
      </c>
      <c r="E238">
        <v>2024</v>
      </c>
    </row>
    <row r="239" spans="1:5" x14ac:dyDescent="0.25">
      <c r="A239" t="s">
        <v>12</v>
      </c>
      <c r="B239" s="1">
        <v>45352</v>
      </c>
      <c r="C239" s="2">
        <v>700.7</v>
      </c>
      <c r="D239" t="s">
        <v>13</v>
      </c>
      <c r="E239">
        <v>2024</v>
      </c>
    </row>
    <row r="240" spans="1:5" hidden="1" x14ac:dyDescent="0.25">
      <c r="A240" t="s">
        <v>12</v>
      </c>
      <c r="B240" s="1">
        <v>45231</v>
      </c>
      <c r="C240" s="2">
        <v>668.75</v>
      </c>
      <c r="D240" t="s">
        <v>53</v>
      </c>
      <c r="E240">
        <v>2023</v>
      </c>
    </row>
    <row r="241" spans="1:5" hidden="1" x14ac:dyDescent="0.25">
      <c r="A241" t="s">
        <v>12</v>
      </c>
      <c r="B241" s="1">
        <v>45261</v>
      </c>
      <c r="C241" s="2">
        <v>658.88890000000004</v>
      </c>
      <c r="D241" t="s">
        <v>52</v>
      </c>
      <c r="E241">
        <v>2023</v>
      </c>
    </row>
    <row r="242" spans="1:5" x14ac:dyDescent="0.25">
      <c r="A242" t="s">
        <v>12</v>
      </c>
      <c r="B242" s="1">
        <v>45323</v>
      </c>
      <c r="C242" s="2">
        <v>652.72730000000001</v>
      </c>
      <c r="D242" t="s">
        <v>16</v>
      </c>
      <c r="E242">
        <v>2024</v>
      </c>
    </row>
    <row r="243" spans="1:5" hidden="1" x14ac:dyDescent="0.25">
      <c r="A243" t="s">
        <v>12</v>
      </c>
      <c r="B243" s="1">
        <v>45139</v>
      </c>
      <c r="C243" s="2">
        <v>649.14290000000005</v>
      </c>
      <c r="D243" t="s">
        <v>50</v>
      </c>
      <c r="E243">
        <v>2023</v>
      </c>
    </row>
    <row r="244" spans="1:5" hidden="1" x14ac:dyDescent="0.25">
      <c r="A244" t="s">
        <v>12</v>
      </c>
      <c r="B244" s="1">
        <v>45200</v>
      </c>
      <c r="C244" s="2">
        <v>642</v>
      </c>
      <c r="D244" t="s">
        <v>49</v>
      </c>
      <c r="E244">
        <v>2023</v>
      </c>
    </row>
    <row r="245" spans="1:5" hidden="1" x14ac:dyDescent="0.25">
      <c r="A245" t="s">
        <v>12</v>
      </c>
      <c r="B245" s="1">
        <v>45170</v>
      </c>
      <c r="C245" s="2">
        <v>641.28570000000002</v>
      </c>
      <c r="D245" t="s">
        <v>51</v>
      </c>
      <c r="E245">
        <v>2023</v>
      </c>
    </row>
    <row r="246" spans="1:5" x14ac:dyDescent="0.25">
      <c r="A246" t="s">
        <v>12</v>
      </c>
      <c r="B246" s="1">
        <v>45292</v>
      </c>
      <c r="C246" s="2">
        <v>632.84460000000001</v>
      </c>
      <c r="D246" t="s">
        <v>5</v>
      </c>
      <c r="E246">
        <v>2024</v>
      </c>
    </row>
    <row r="247" spans="1:5" hidden="1" x14ac:dyDescent="0.25">
      <c r="A247" t="s">
        <v>12</v>
      </c>
      <c r="B247" s="1">
        <v>45078</v>
      </c>
      <c r="C247" s="2">
        <v>540</v>
      </c>
      <c r="D247" t="s">
        <v>48</v>
      </c>
      <c r="E247">
        <v>2023</v>
      </c>
    </row>
    <row r="248" spans="1:5" hidden="1" x14ac:dyDescent="0.25">
      <c r="A248" t="s">
        <v>12</v>
      </c>
      <c r="B248" s="1">
        <v>45108</v>
      </c>
      <c r="C248" s="2">
        <v>537</v>
      </c>
      <c r="D248" t="s">
        <v>47</v>
      </c>
      <c r="E248">
        <v>2023</v>
      </c>
    </row>
    <row r="249" spans="1:5" hidden="1" x14ac:dyDescent="0.25">
      <c r="A249" t="s">
        <v>12</v>
      </c>
      <c r="B249" s="1">
        <v>45017</v>
      </c>
      <c r="C249" s="2">
        <v>291.25</v>
      </c>
      <c r="D249" t="s">
        <v>11</v>
      </c>
      <c r="E249">
        <v>2023</v>
      </c>
    </row>
    <row r="250" spans="1:5" hidden="1" x14ac:dyDescent="0.25">
      <c r="A250" t="s">
        <v>12</v>
      </c>
      <c r="B250" s="1">
        <v>45047</v>
      </c>
      <c r="C250" s="2">
        <v>208.125</v>
      </c>
      <c r="D250" t="s">
        <v>9</v>
      </c>
      <c r="E250">
        <v>2023</v>
      </c>
    </row>
    <row r="251" spans="1:5" hidden="1" x14ac:dyDescent="0.25">
      <c r="A251" t="s">
        <v>12</v>
      </c>
      <c r="B251" s="1">
        <v>44927</v>
      </c>
      <c r="C251" s="2">
        <v>202.5</v>
      </c>
      <c r="D251" t="s">
        <v>5</v>
      </c>
      <c r="E251">
        <v>2023</v>
      </c>
    </row>
    <row r="252" spans="1:5" hidden="1" x14ac:dyDescent="0.25">
      <c r="A252" t="s">
        <v>12</v>
      </c>
      <c r="B252" s="1">
        <v>44958</v>
      </c>
      <c r="C252" s="2">
        <v>200</v>
      </c>
      <c r="D252" t="s">
        <v>16</v>
      </c>
      <c r="E252">
        <v>2023</v>
      </c>
    </row>
    <row r="253" spans="1:5" hidden="1" x14ac:dyDescent="0.25">
      <c r="A253" t="s">
        <v>12</v>
      </c>
      <c r="B253" s="1">
        <v>44986</v>
      </c>
      <c r="C253" s="2">
        <v>195</v>
      </c>
      <c r="D253" t="s">
        <v>13</v>
      </c>
      <c r="E253">
        <v>2023</v>
      </c>
    </row>
    <row r="254" spans="1:5" x14ac:dyDescent="0.25">
      <c r="A254" t="s">
        <v>7</v>
      </c>
      <c r="B254" s="1">
        <v>45597</v>
      </c>
      <c r="C254" s="2">
        <v>1331.9444000000001</v>
      </c>
      <c r="D254" t="s">
        <v>53</v>
      </c>
      <c r="E254">
        <v>2024</v>
      </c>
    </row>
    <row r="255" spans="1:5" x14ac:dyDescent="0.25">
      <c r="A255" t="s">
        <v>7</v>
      </c>
      <c r="B255" s="1">
        <v>45566</v>
      </c>
      <c r="C255" s="2">
        <v>1283.7856999999999</v>
      </c>
      <c r="D255" t="s">
        <v>49</v>
      </c>
      <c r="E255">
        <v>2024</v>
      </c>
    </row>
    <row r="256" spans="1:5" x14ac:dyDescent="0.25">
      <c r="A256" t="s">
        <v>7</v>
      </c>
      <c r="B256" s="1">
        <v>45627</v>
      </c>
      <c r="C256" s="2">
        <v>1282.3846000000001</v>
      </c>
      <c r="D256" t="s">
        <v>52</v>
      </c>
      <c r="E256">
        <v>2024</v>
      </c>
    </row>
    <row r="257" spans="1:5" hidden="1" x14ac:dyDescent="0.25">
      <c r="A257" t="s">
        <v>7</v>
      </c>
      <c r="B257" s="1">
        <v>45748</v>
      </c>
      <c r="C257" s="2">
        <v>1153.3333</v>
      </c>
      <c r="D257" t="s">
        <v>11</v>
      </c>
      <c r="E257">
        <v>2025</v>
      </c>
    </row>
    <row r="258" spans="1:5" hidden="1" x14ac:dyDescent="0.25">
      <c r="A258" t="s">
        <v>7</v>
      </c>
      <c r="B258" s="1">
        <v>45717</v>
      </c>
      <c r="C258" s="2">
        <v>1138.7</v>
      </c>
      <c r="D258" t="s">
        <v>13</v>
      </c>
      <c r="E258">
        <v>2025</v>
      </c>
    </row>
    <row r="259" spans="1:5" hidden="1" x14ac:dyDescent="0.25">
      <c r="A259" t="s">
        <v>7</v>
      </c>
      <c r="B259" s="1">
        <v>45689</v>
      </c>
      <c r="C259" s="2">
        <v>1066.6667</v>
      </c>
      <c r="D259" t="s">
        <v>16</v>
      </c>
      <c r="E259">
        <v>2025</v>
      </c>
    </row>
    <row r="260" spans="1:5" hidden="1" x14ac:dyDescent="0.25">
      <c r="A260" t="s">
        <v>7</v>
      </c>
      <c r="B260" s="1">
        <v>45658</v>
      </c>
      <c r="C260" s="2">
        <v>1066.6667</v>
      </c>
      <c r="D260" t="s">
        <v>5</v>
      </c>
      <c r="E260">
        <v>2025</v>
      </c>
    </row>
    <row r="261" spans="1:5" x14ac:dyDescent="0.25">
      <c r="A261" t="s">
        <v>7</v>
      </c>
      <c r="B261" s="1">
        <v>45536</v>
      </c>
      <c r="C261" s="2">
        <v>1004.0909</v>
      </c>
      <c r="D261" t="s">
        <v>51</v>
      </c>
      <c r="E261">
        <v>2024</v>
      </c>
    </row>
    <row r="262" spans="1:5" x14ac:dyDescent="0.25">
      <c r="A262" t="s">
        <v>7</v>
      </c>
      <c r="B262" s="1">
        <v>45505</v>
      </c>
      <c r="C262" s="2">
        <v>893.29169999999999</v>
      </c>
      <c r="D262" t="s">
        <v>50</v>
      </c>
      <c r="E262">
        <v>2024</v>
      </c>
    </row>
    <row r="263" spans="1:5" x14ac:dyDescent="0.25">
      <c r="A263" t="s">
        <v>7</v>
      </c>
      <c r="B263" s="1">
        <v>45474</v>
      </c>
      <c r="C263" s="2">
        <v>829.46429999999998</v>
      </c>
      <c r="D263" t="s">
        <v>47</v>
      </c>
      <c r="E263">
        <v>2024</v>
      </c>
    </row>
    <row r="264" spans="1:5" x14ac:dyDescent="0.25">
      <c r="A264" t="s">
        <v>7</v>
      </c>
      <c r="B264" s="1">
        <v>45413</v>
      </c>
      <c r="C264" s="2">
        <v>800.31820000000005</v>
      </c>
      <c r="D264" t="s">
        <v>9</v>
      </c>
      <c r="E264">
        <v>2024</v>
      </c>
    </row>
    <row r="265" spans="1:5" x14ac:dyDescent="0.25">
      <c r="A265" t="s">
        <v>7</v>
      </c>
      <c r="B265" s="1">
        <v>45444</v>
      </c>
      <c r="C265" s="2">
        <v>743.90909999999997</v>
      </c>
      <c r="D265" t="s">
        <v>48</v>
      </c>
      <c r="E265">
        <v>2024</v>
      </c>
    </row>
    <row r="266" spans="1:5" x14ac:dyDescent="0.25">
      <c r="A266" t="s">
        <v>7</v>
      </c>
      <c r="B266" s="1">
        <v>45383</v>
      </c>
      <c r="C266" s="2">
        <v>743.90909999999997</v>
      </c>
      <c r="D266" t="s">
        <v>11</v>
      </c>
      <c r="E266">
        <v>2024</v>
      </c>
    </row>
    <row r="267" spans="1:5" x14ac:dyDescent="0.25">
      <c r="A267" t="s">
        <v>7</v>
      </c>
      <c r="B267" s="1">
        <v>45352</v>
      </c>
      <c r="C267" s="2">
        <v>721.75</v>
      </c>
      <c r="D267" t="s">
        <v>13</v>
      </c>
      <c r="E267">
        <v>2024</v>
      </c>
    </row>
    <row r="268" spans="1:5" x14ac:dyDescent="0.25">
      <c r="A268" t="s">
        <v>7</v>
      </c>
      <c r="B268" s="1">
        <v>45323</v>
      </c>
      <c r="C268" s="2">
        <v>680.22</v>
      </c>
      <c r="D268" t="s">
        <v>16</v>
      </c>
      <c r="E268">
        <v>2024</v>
      </c>
    </row>
    <row r="269" spans="1:5" hidden="1" x14ac:dyDescent="0.25">
      <c r="A269" t="s">
        <v>7</v>
      </c>
      <c r="B269" s="1">
        <v>45170</v>
      </c>
      <c r="C269" s="2">
        <v>657.37270000000001</v>
      </c>
      <c r="D269" t="s">
        <v>51</v>
      </c>
      <c r="E269">
        <v>2023</v>
      </c>
    </row>
    <row r="270" spans="1:5" x14ac:dyDescent="0.25">
      <c r="A270" t="s">
        <v>7</v>
      </c>
      <c r="B270" s="1">
        <v>45292</v>
      </c>
      <c r="C270" s="2">
        <v>657.27269999999999</v>
      </c>
      <c r="D270" t="s">
        <v>5</v>
      </c>
      <c r="E270">
        <v>2024</v>
      </c>
    </row>
    <row r="271" spans="1:5" hidden="1" x14ac:dyDescent="0.25">
      <c r="A271" t="s">
        <v>7</v>
      </c>
      <c r="B271" s="1">
        <v>45200</v>
      </c>
      <c r="C271" s="2">
        <v>657.27269999999999</v>
      </c>
      <c r="D271" t="s">
        <v>49</v>
      </c>
      <c r="E271">
        <v>2023</v>
      </c>
    </row>
    <row r="272" spans="1:5" hidden="1" x14ac:dyDescent="0.25">
      <c r="A272" t="s">
        <v>7</v>
      </c>
      <c r="B272" s="1">
        <v>45139</v>
      </c>
      <c r="C272" s="2">
        <v>657.27269999999999</v>
      </c>
      <c r="D272" t="s">
        <v>50</v>
      </c>
      <c r="E272">
        <v>2023</v>
      </c>
    </row>
    <row r="273" spans="1:5" hidden="1" x14ac:dyDescent="0.25">
      <c r="A273" t="s">
        <v>7</v>
      </c>
      <c r="B273" s="1">
        <v>45108</v>
      </c>
      <c r="C273" s="2">
        <v>657.27269999999999</v>
      </c>
      <c r="D273" t="s">
        <v>47</v>
      </c>
      <c r="E273">
        <v>2023</v>
      </c>
    </row>
    <row r="274" spans="1:5" hidden="1" x14ac:dyDescent="0.25">
      <c r="A274" t="s">
        <v>7</v>
      </c>
      <c r="B274" s="1">
        <v>45231</v>
      </c>
      <c r="C274" s="2">
        <v>625.75</v>
      </c>
      <c r="D274" t="s">
        <v>53</v>
      </c>
      <c r="E274">
        <v>2023</v>
      </c>
    </row>
    <row r="275" spans="1:5" hidden="1" x14ac:dyDescent="0.25">
      <c r="A275" t="s">
        <v>7</v>
      </c>
      <c r="B275" s="1">
        <v>45261</v>
      </c>
      <c r="C275" s="2">
        <v>622.71429999999998</v>
      </c>
      <c r="D275" t="s">
        <v>52</v>
      </c>
      <c r="E275">
        <v>2023</v>
      </c>
    </row>
    <row r="276" spans="1:5" hidden="1" x14ac:dyDescent="0.25">
      <c r="A276" t="s">
        <v>7</v>
      </c>
      <c r="B276" s="1">
        <v>45078</v>
      </c>
      <c r="C276" s="2">
        <v>557.14290000000005</v>
      </c>
      <c r="D276" t="s">
        <v>48</v>
      </c>
      <c r="E276">
        <v>2023</v>
      </c>
    </row>
    <row r="277" spans="1:5" hidden="1" x14ac:dyDescent="0.25">
      <c r="A277" t="s">
        <v>7</v>
      </c>
      <c r="B277" s="1">
        <v>44986</v>
      </c>
      <c r="C277" s="2">
        <v>324.5455</v>
      </c>
      <c r="D277" t="s">
        <v>13</v>
      </c>
      <c r="E277">
        <v>2023</v>
      </c>
    </row>
    <row r="278" spans="1:5" hidden="1" x14ac:dyDescent="0.25">
      <c r="A278" t="s">
        <v>7</v>
      </c>
      <c r="B278" s="1">
        <v>45017</v>
      </c>
      <c r="C278" s="2">
        <v>256.25</v>
      </c>
      <c r="D278" t="s">
        <v>11</v>
      </c>
      <c r="E278">
        <v>2023</v>
      </c>
    </row>
    <row r="279" spans="1:5" hidden="1" x14ac:dyDescent="0.25">
      <c r="A279" t="s">
        <v>7</v>
      </c>
      <c r="B279" s="1">
        <v>45047</v>
      </c>
      <c r="C279" s="2">
        <v>248.18180000000001</v>
      </c>
      <c r="D279" t="s">
        <v>9</v>
      </c>
      <c r="E279">
        <v>2023</v>
      </c>
    </row>
    <row r="280" spans="1:5" hidden="1" x14ac:dyDescent="0.25">
      <c r="A280" t="s">
        <v>7</v>
      </c>
      <c r="B280" s="1">
        <v>44958</v>
      </c>
      <c r="C280" s="2">
        <v>214.5455</v>
      </c>
      <c r="D280" t="s">
        <v>16</v>
      </c>
      <c r="E280">
        <v>2023</v>
      </c>
    </row>
    <row r="281" spans="1:5" hidden="1" x14ac:dyDescent="0.25">
      <c r="A281" t="s">
        <v>7</v>
      </c>
      <c r="B281" s="1">
        <v>44927</v>
      </c>
      <c r="C281" s="2">
        <v>193.9091</v>
      </c>
      <c r="D281" t="s">
        <v>5</v>
      </c>
      <c r="E281">
        <v>2023</v>
      </c>
    </row>
    <row r="282" spans="1:5" hidden="1" x14ac:dyDescent="0.25">
      <c r="A282" t="s">
        <v>31</v>
      </c>
      <c r="B282" s="1">
        <v>45717</v>
      </c>
      <c r="C282" s="2">
        <v>1563.8639000000001</v>
      </c>
      <c r="D282" t="s">
        <v>13</v>
      </c>
      <c r="E282">
        <v>2025</v>
      </c>
    </row>
    <row r="283" spans="1:5" hidden="1" x14ac:dyDescent="0.25">
      <c r="A283" t="s">
        <v>31</v>
      </c>
      <c r="B283" s="1">
        <v>45658</v>
      </c>
      <c r="C283" s="2">
        <v>1483.3333</v>
      </c>
      <c r="D283" t="s">
        <v>5</v>
      </c>
      <c r="E283">
        <v>2025</v>
      </c>
    </row>
    <row r="284" spans="1:5" hidden="1" x14ac:dyDescent="0.25">
      <c r="A284" t="s">
        <v>31</v>
      </c>
      <c r="B284" s="1">
        <v>45689</v>
      </c>
      <c r="C284" s="2">
        <v>1477.7778000000001</v>
      </c>
      <c r="D284" t="s">
        <v>16</v>
      </c>
      <c r="E284">
        <v>2025</v>
      </c>
    </row>
    <row r="285" spans="1:5" hidden="1" x14ac:dyDescent="0.25">
      <c r="A285" t="s">
        <v>31</v>
      </c>
      <c r="B285" s="1">
        <v>45748</v>
      </c>
      <c r="C285" s="2">
        <v>1301.6875</v>
      </c>
      <c r="D285" t="s">
        <v>11</v>
      </c>
      <c r="E285">
        <v>2025</v>
      </c>
    </row>
    <row r="286" spans="1:5" x14ac:dyDescent="0.25">
      <c r="A286" t="s">
        <v>31</v>
      </c>
      <c r="B286" s="1">
        <v>45566</v>
      </c>
      <c r="C286" s="2">
        <v>1255.5555999999999</v>
      </c>
      <c r="D286" t="s">
        <v>49</v>
      </c>
      <c r="E286">
        <v>2024</v>
      </c>
    </row>
    <row r="287" spans="1:5" x14ac:dyDescent="0.25">
      <c r="A287" t="s">
        <v>31</v>
      </c>
      <c r="B287" s="1">
        <v>45627</v>
      </c>
      <c r="C287" s="2">
        <v>1228.1875</v>
      </c>
      <c r="D287" t="s">
        <v>52</v>
      </c>
      <c r="E287">
        <v>2024</v>
      </c>
    </row>
    <row r="288" spans="1:5" x14ac:dyDescent="0.25">
      <c r="A288" t="s">
        <v>31</v>
      </c>
      <c r="B288" s="1">
        <v>45597</v>
      </c>
      <c r="C288" s="2">
        <v>1218.5417</v>
      </c>
      <c r="D288" t="s">
        <v>53</v>
      </c>
      <c r="E288">
        <v>2024</v>
      </c>
    </row>
    <row r="289" spans="1:5" x14ac:dyDescent="0.25">
      <c r="A289" t="s">
        <v>31</v>
      </c>
      <c r="B289" s="1">
        <v>45536</v>
      </c>
      <c r="C289" s="2">
        <v>1005.5556</v>
      </c>
      <c r="D289" t="s">
        <v>51</v>
      </c>
      <c r="E289">
        <v>2024</v>
      </c>
    </row>
    <row r="290" spans="1:5" x14ac:dyDescent="0.25">
      <c r="A290" t="s">
        <v>31</v>
      </c>
      <c r="B290" s="1">
        <v>45444</v>
      </c>
      <c r="C290" s="2">
        <v>793.33330000000001</v>
      </c>
      <c r="D290" t="s">
        <v>48</v>
      </c>
      <c r="E290">
        <v>2024</v>
      </c>
    </row>
    <row r="291" spans="1:5" x14ac:dyDescent="0.25">
      <c r="A291" t="s">
        <v>31</v>
      </c>
      <c r="B291" s="1">
        <v>45413</v>
      </c>
      <c r="C291" s="2">
        <v>740</v>
      </c>
      <c r="D291" t="s">
        <v>9</v>
      </c>
      <c r="E291">
        <v>2024</v>
      </c>
    </row>
    <row r="292" spans="1:5" x14ac:dyDescent="0.25">
      <c r="A292" t="s">
        <v>31</v>
      </c>
      <c r="B292" s="1">
        <v>45352</v>
      </c>
      <c r="C292" s="2">
        <v>710</v>
      </c>
      <c r="D292" t="s">
        <v>13</v>
      </c>
      <c r="E292">
        <v>2024</v>
      </c>
    </row>
    <row r="293" spans="1:5" x14ac:dyDescent="0.25">
      <c r="A293" t="s">
        <v>31</v>
      </c>
      <c r="B293" s="1">
        <v>45383</v>
      </c>
      <c r="C293" s="2">
        <v>682.77779999999996</v>
      </c>
      <c r="D293" t="s">
        <v>11</v>
      </c>
      <c r="E293">
        <v>2024</v>
      </c>
    </row>
    <row r="294" spans="1:5" hidden="1" x14ac:dyDescent="0.25">
      <c r="A294" t="s">
        <v>31</v>
      </c>
      <c r="B294" s="1">
        <v>45261</v>
      </c>
      <c r="C294" s="2">
        <v>679</v>
      </c>
      <c r="D294" t="s">
        <v>52</v>
      </c>
      <c r="E294">
        <v>2023</v>
      </c>
    </row>
    <row r="295" spans="1:5" x14ac:dyDescent="0.25">
      <c r="A295" t="s">
        <v>31</v>
      </c>
      <c r="B295" s="1">
        <v>45474</v>
      </c>
      <c r="C295" s="2">
        <v>677.77779999999996</v>
      </c>
      <c r="D295" t="s">
        <v>47</v>
      </c>
      <c r="E295">
        <v>2024</v>
      </c>
    </row>
    <row r="296" spans="1:5" x14ac:dyDescent="0.25">
      <c r="A296" t="s">
        <v>31</v>
      </c>
      <c r="B296" s="1">
        <v>45505</v>
      </c>
      <c r="C296" s="2">
        <v>672</v>
      </c>
      <c r="D296" t="s">
        <v>50</v>
      </c>
      <c r="E296">
        <v>2024</v>
      </c>
    </row>
    <row r="297" spans="1:5" hidden="1" x14ac:dyDescent="0.25">
      <c r="A297" t="s">
        <v>31</v>
      </c>
      <c r="B297" s="1">
        <v>45231</v>
      </c>
      <c r="C297" s="2">
        <v>666</v>
      </c>
      <c r="D297" t="s">
        <v>53</v>
      </c>
      <c r="E297">
        <v>2023</v>
      </c>
    </row>
    <row r="298" spans="1:5" x14ac:dyDescent="0.25">
      <c r="A298" t="s">
        <v>31</v>
      </c>
      <c r="B298" s="1">
        <v>45323</v>
      </c>
      <c r="C298" s="2">
        <v>665.625</v>
      </c>
      <c r="D298" t="s">
        <v>16</v>
      </c>
      <c r="E298">
        <v>2024</v>
      </c>
    </row>
    <row r="299" spans="1:5" x14ac:dyDescent="0.25">
      <c r="A299" t="s">
        <v>31</v>
      </c>
      <c r="B299" s="1">
        <v>45292</v>
      </c>
      <c r="C299" s="2">
        <v>663.33330000000001</v>
      </c>
      <c r="D299" t="s">
        <v>5</v>
      </c>
      <c r="E299">
        <v>2024</v>
      </c>
    </row>
    <row r="300" spans="1:5" hidden="1" x14ac:dyDescent="0.25">
      <c r="A300" t="s">
        <v>31</v>
      </c>
      <c r="B300" s="1">
        <v>45170</v>
      </c>
      <c r="C300" s="2">
        <v>621.72730000000001</v>
      </c>
      <c r="D300" t="s">
        <v>51</v>
      </c>
      <c r="E300">
        <v>2023</v>
      </c>
    </row>
    <row r="301" spans="1:5" hidden="1" x14ac:dyDescent="0.25">
      <c r="A301" t="s">
        <v>31</v>
      </c>
      <c r="B301" s="1">
        <v>45139</v>
      </c>
      <c r="C301" s="2">
        <v>618.66669999999999</v>
      </c>
      <c r="D301" t="s">
        <v>50</v>
      </c>
      <c r="E301">
        <v>2023</v>
      </c>
    </row>
    <row r="302" spans="1:5" hidden="1" x14ac:dyDescent="0.25">
      <c r="A302" t="s">
        <v>31</v>
      </c>
      <c r="B302" s="1">
        <v>45200</v>
      </c>
      <c r="C302" s="2">
        <v>610.5</v>
      </c>
      <c r="D302" t="s">
        <v>49</v>
      </c>
      <c r="E302">
        <v>2023</v>
      </c>
    </row>
    <row r="303" spans="1:5" hidden="1" x14ac:dyDescent="0.25">
      <c r="A303" t="s">
        <v>31</v>
      </c>
      <c r="B303" s="1">
        <v>45108</v>
      </c>
      <c r="C303" s="2">
        <v>569.375</v>
      </c>
      <c r="D303" t="s">
        <v>47</v>
      </c>
      <c r="E303">
        <v>2023</v>
      </c>
    </row>
    <row r="304" spans="1:5" hidden="1" x14ac:dyDescent="0.25">
      <c r="A304" t="s">
        <v>31</v>
      </c>
      <c r="B304" s="1">
        <v>45078</v>
      </c>
      <c r="C304" s="2">
        <v>549</v>
      </c>
      <c r="D304" t="s">
        <v>48</v>
      </c>
      <c r="E304">
        <v>2023</v>
      </c>
    </row>
    <row r="305" spans="1:5" hidden="1" x14ac:dyDescent="0.25">
      <c r="A305" t="s">
        <v>31</v>
      </c>
      <c r="B305" s="1">
        <v>45017</v>
      </c>
      <c r="C305" s="2">
        <v>289.09089999999998</v>
      </c>
      <c r="D305" t="s">
        <v>11</v>
      </c>
      <c r="E305">
        <v>2023</v>
      </c>
    </row>
    <row r="306" spans="1:5" hidden="1" x14ac:dyDescent="0.25">
      <c r="A306" t="s">
        <v>31</v>
      </c>
      <c r="B306" s="1">
        <v>44986</v>
      </c>
      <c r="C306" s="2">
        <v>263.33330000000001</v>
      </c>
      <c r="D306" t="s">
        <v>13</v>
      </c>
      <c r="E306">
        <v>2023</v>
      </c>
    </row>
    <row r="307" spans="1:5" hidden="1" x14ac:dyDescent="0.25">
      <c r="A307" t="s">
        <v>31</v>
      </c>
      <c r="B307" s="1">
        <v>44927</v>
      </c>
      <c r="C307" s="2">
        <v>261.66669999999999</v>
      </c>
      <c r="D307" t="s">
        <v>5</v>
      </c>
      <c r="E307">
        <v>2023</v>
      </c>
    </row>
    <row r="308" spans="1:5" hidden="1" x14ac:dyDescent="0.25">
      <c r="A308" t="s">
        <v>31</v>
      </c>
      <c r="B308" s="1">
        <v>45047</v>
      </c>
      <c r="C308" s="2">
        <v>230</v>
      </c>
      <c r="D308" t="s">
        <v>9</v>
      </c>
      <c r="E308">
        <v>2023</v>
      </c>
    </row>
    <row r="309" spans="1:5" hidden="1" x14ac:dyDescent="0.25">
      <c r="A309" t="s">
        <v>31</v>
      </c>
      <c r="B309" s="1">
        <v>44958</v>
      </c>
      <c r="C309" s="2">
        <v>220</v>
      </c>
      <c r="D309" t="s">
        <v>16</v>
      </c>
      <c r="E309">
        <v>2023</v>
      </c>
    </row>
    <row r="310" spans="1:5" hidden="1" x14ac:dyDescent="0.25">
      <c r="A310" t="s">
        <v>34</v>
      </c>
      <c r="B310" s="1">
        <v>45658</v>
      </c>
      <c r="C310" s="2">
        <v>1364.2856999999999</v>
      </c>
      <c r="D310" t="s">
        <v>5</v>
      </c>
      <c r="E310">
        <v>2025</v>
      </c>
    </row>
    <row r="311" spans="1:5" x14ac:dyDescent="0.25">
      <c r="A311" t="s">
        <v>34</v>
      </c>
      <c r="B311" s="1">
        <v>45627</v>
      </c>
      <c r="C311" s="2">
        <v>1282.7143000000001</v>
      </c>
      <c r="D311" t="s">
        <v>52</v>
      </c>
      <c r="E311">
        <v>2024</v>
      </c>
    </row>
    <row r="312" spans="1:5" hidden="1" x14ac:dyDescent="0.25">
      <c r="A312" t="s">
        <v>34</v>
      </c>
      <c r="B312" s="1">
        <v>45717</v>
      </c>
      <c r="C312" s="2">
        <v>1175.9303</v>
      </c>
      <c r="D312" t="s">
        <v>13</v>
      </c>
      <c r="E312">
        <v>2025</v>
      </c>
    </row>
    <row r="313" spans="1:5" x14ac:dyDescent="0.25">
      <c r="A313" t="s">
        <v>34</v>
      </c>
      <c r="B313" s="1">
        <v>45597</v>
      </c>
      <c r="C313" s="2">
        <v>1170.3570999999999</v>
      </c>
      <c r="D313" t="s">
        <v>53</v>
      </c>
      <c r="E313">
        <v>2024</v>
      </c>
    </row>
    <row r="314" spans="1:5" hidden="1" x14ac:dyDescent="0.25">
      <c r="A314" t="s">
        <v>34</v>
      </c>
      <c r="B314" s="1">
        <v>45748</v>
      </c>
      <c r="C314" s="2">
        <v>1161.4136000000001</v>
      </c>
      <c r="D314" t="s">
        <v>11</v>
      </c>
      <c r="E314">
        <v>2025</v>
      </c>
    </row>
    <row r="315" spans="1:5" hidden="1" x14ac:dyDescent="0.25">
      <c r="A315" t="s">
        <v>34</v>
      </c>
      <c r="B315" s="1">
        <v>45689</v>
      </c>
      <c r="C315" s="2">
        <v>1131.4286</v>
      </c>
      <c r="D315" t="s">
        <v>16</v>
      </c>
      <c r="E315">
        <v>2025</v>
      </c>
    </row>
    <row r="316" spans="1:5" x14ac:dyDescent="0.25">
      <c r="A316" t="s">
        <v>34</v>
      </c>
      <c r="B316" s="1">
        <v>45566</v>
      </c>
      <c r="C316" s="2">
        <v>1050</v>
      </c>
      <c r="D316" t="s">
        <v>49</v>
      </c>
      <c r="E316">
        <v>2024</v>
      </c>
    </row>
    <row r="317" spans="1:5" x14ac:dyDescent="0.25">
      <c r="A317" t="s">
        <v>34</v>
      </c>
      <c r="B317" s="1">
        <v>45536</v>
      </c>
      <c r="C317" s="2">
        <v>1007.2727</v>
      </c>
      <c r="D317" t="s">
        <v>51</v>
      </c>
      <c r="E317">
        <v>2024</v>
      </c>
    </row>
    <row r="318" spans="1:5" x14ac:dyDescent="0.25">
      <c r="A318" t="s">
        <v>34</v>
      </c>
      <c r="B318" s="1">
        <v>45444</v>
      </c>
      <c r="C318" s="2">
        <v>785.71429999999998</v>
      </c>
      <c r="D318" t="s">
        <v>48</v>
      </c>
      <c r="E318">
        <v>2024</v>
      </c>
    </row>
    <row r="319" spans="1:5" x14ac:dyDescent="0.25">
      <c r="A319" t="s">
        <v>34</v>
      </c>
      <c r="B319" s="1">
        <v>45413</v>
      </c>
      <c r="C319" s="2">
        <v>748</v>
      </c>
      <c r="D319" t="s">
        <v>9</v>
      </c>
      <c r="E319">
        <v>2024</v>
      </c>
    </row>
    <row r="320" spans="1:5" x14ac:dyDescent="0.25">
      <c r="A320" t="s">
        <v>34</v>
      </c>
      <c r="B320" s="1">
        <v>45352</v>
      </c>
      <c r="C320" s="2">
        <v>696.875</v>
      </c>
      <c r="D320" t="s">
        <v>13</v>
      </c>
      <c r="E320">
        <v>2024</v>
      </c>
    </row>
    <row r="321" spans="1:5" x14ac:dyDescent="0.25">
      <c r="A321" t="s">
        <v>34</v>
      </c>
      <c r="B321" s="1">
        <v>45383</v>
      </c>
      <c r="C321" s="2">
        <v>688.75</v>
      </c>
      <c r="D321" t="s">
        <v>11</v>
      </c>
      <c r="E321">
        <v>2024</v>
      </c>
    </row>
    <row r="322" spans="1:5" x14ac:dyDescent="0.25">
      <c r="A322" t="s">
        <v>34</v>
      </c>
      <c r="B322" s="1">
        <v>45323</v>
      </c>
      <c r="C322" s="2">
        <v>687</v>
      </c>
      <c r="D322" t="s">
        <v>16</v>
      </c>
      <c r="E322">
        <v>2024</v>
      </c>
    </row>
    <row r="323" spans="1:5" x14ac:dyDescent="0.25">
      <c r="A323" t="s">
        <v>34</v>
      </c>
      <c r="B323" s="1">
        <v>45474</v>
      </c>
      <c r="C323" s="2">
        <v>680</v>
      </c>
      <c r="D323" t="s">
        <v>47</v>
      </c>
      <c r="E323">
        <v>2024</v>
      </c>
    </row>
    <row r="324" spans="1:5" hidden="1" x14ac:dyDescent="0.25">
      <c r="A324" t="s">
        <v>34</v>
      </c>
      <c r="B324" s="1">
        <v>45231</v>
      </c>
      <c r="C324" s="2">
        <v>670</v>
      </c>
      <c r="D324" t="s">
        <v>53</v>
      </c>
      <c r="E324">
        <v>2023</v>
      </c>
    </row>
    <row r="325" spans="1:5" x14ac:dyDescent="0.25">
      <c r="A325" t="s">
        <v>34</v>
      </c>
      <c r="B325" s="1">
        <v>45505</v>
      </c>
      <c r="C325" s="2">
        <v>667.5</v>
      </c>
      <c r="D325" t="s">
        <v>50</v>
      </c>
      <c r="E325">
        <v>2024</v>
      </c>
    </row>
    <row r="326" spans="1:5" x14ac:dyDescent="0.25">
      <c r="A326" t="s">
        <v>34</v>
      </c>
      <c r="B326" s="1">
        <v>45292</v>
      </c>
      <c r="C326" s="2">
        <v>665.625</v>
      </c>
      <c r="D326" t="s">
        <v>5</v>
      </c>
      <c r="E326">
        <v>2024</v>
      </c>
    </row>
    <row r="327" spans="1:5" hidden="1" x14ac:dyDescent="0.25">
      <c r="A327" t="s">
        <v>34</v>
      </c>
      <c r="B327" s="1">
        <v>45261</v>
      </c>
      <c r="C327" s="2">
        <v>640</v>
      </c>
      <c r="D327" t="s">
        <v>52</v>
      </c>
      <c r="E327">
        <v>2023</v>
      </c>
    </row>
    <row r="328" spans="1:5" hidden="1" x14ac:dyDescent="0.25">
      <c r="A328" t="s">
        <v>34</v>
      </c>
      <c r="B328" s="1">
        <v>45170</v>
      </c>
      <c r="C328" s="2">
        <v>605.875</v>
      </c>
      <c r="D328" t="s">
        <v>51</v>
      </c>
      <c r="E328">
        <v>2023</v>
      </c>
    </row>
    <row r="329" spans="1:5" hidden="1" x14ac:dyDescent="0.25">
      <c r="A329" t="s">
        <v>34</v>
      </c>
      <c r="B329" s="1">
        <v>45139</v>
      </c>
      <c r="C329" s="2">
        <v>604.625</v>
      </c>
      <c r="D329" t="s">
        <v>50</v>
      </c>
      <c r="E329">
        <v>2023</v>
      </c>
    </row>
    <row r="330" spans="1:5" hidden="1" x14ac:dyDescent="0.25">
      <c r="A330" t="s">
        <v>34</v>
      </c>
      <c r="B330" s="1">
        <v>45200</v>
      </c>
      <c r="C330" s="2">
        <v>599.375</v>
      </c>
      <c r="D330" t="s">
        <v>49</v>
      </c>
      <c r="E330">
        <v>2023</v>
      </c>
    </row>
    <row r="331" spans="1:5" hidden="1" x14ac:dyDescent="0.25">
      <c r="A331" t="s">
        <v>34</v>
      </c>
      <c r="B331" s="1">
        <v>45108</v>
      </c>
      <c r="C331" s="2">
        <v>575.71429999999998</v>
      </c>
      <c r="D331" t="s">
        <v>47</v>
      </c>
      <c r="E331">
        <v>2023</v>
      </c>
    </row>
    <row r="332" spans="1:5" hidden="1" x14ac:dyDescent="0.25">
      <c r="A332" t="s">
        <v>34</v>
      </c>
      <c r="B332" s="1">
        <v>45078</v>
      </c>
      <c r="C332" s="2">
        <v>542.75</v>
      </c>
      <c r="D332" t="s">
        <v>48</v>
      </c>
      <c r="E332">
        <v>2023</v>
      </c>
    </row>
    <row r="333" spans="1:5" hidden="1" x14ac:dyDescent="0.25">
      <c r="A333" t="s">
        <v>34</v>
      </c>
      <c r="B333" s="1">
        <v>45017</v>
      </c>
      <c r="C333" s="2">
        <v>300.51</v>
      </c>
      <c r="D333" t="s">
        <v>11</v>
      </c>
      <c r="E333">
        <v>2023</v>
      </c>
    </row>
    <row r="334" spans="1:5" hidden="1" x14ac:dyDescent="0.25">
      <c r="A334" t="s">
        <v>34</v>
      </c>
      <c r="B334" s="1">
        <v>44927</v>
      </c>
      <c r="C334" s="2">
        <v>268.33330000000001</v>
      </c>
      <c r="D334" t="s">
        <v>5</v>
      </c>
      <c r="E334">
        <v>2023</v>
      </c>
    </row>
    <row r="335" spans="1:5" hidden="1" x14ac:dyDescent="0.25">
      <c r="A335" t="s">
        <v>34</v>
      </c>
      <c r="B335" s="1">
        <v>44986</v>
      </c>
      <c r="C335" s="2">
        <v>259.16669999999999</v>
      </c>
      <c r="D335" t="s">
        <v>13</v>
      </c>
      <c r="E335">
        <v>2023</v>
      </c>
    </row>
    <row r="336" spans="1:5" hidden="1" x14ac:dyDescent="0.25">
      <c r="A336" t="s">
        <v>34</v>
      </c>
      <c r="B336" s="1">
        <v>44958</v>
      </c>
      <c r="C336" s="2">
        <v>233.57140000000001</v>
      </c>
      <c r="D336" t="s">
        <v>16</v>
      </c>
      <c r="E336">
        <v>2023</v>
      </c>
    </row>
    <row r="337" spans="1:5" hidden="1" x14ac:dyDescent="0.25">
      <c r="A337" t="s">
        <v>34</v>
      </c>
      <c r="B337" s="1">
        <v>45047</v>
      </c>
      <c r="C337" s="2">
        <v>225</v>
      </c>
      <c r="D337" t="s">
        <v>9</v>
      </c>
      <c r="E337">
        <v>2023</v>
      </c>
    </row>
    <row r="338" spans="1:5" x14ac:dyDescent="0.25">
      <c r="A338" t="s">
        <v>39</v>
      </c>
      <c r="B338" s="1">
        <v>45566</v>
      </c>
      <c r="C338" s="2">
        <v>1292.8570999999999</v>
      </c>
      <c r="D338" t="s">
        <v>49</v>
      </c>
      <c r="E338">
        <v>2024</v>
      </c>
    </row>
    <row r="339" spans="1:5" x14ac:dyDescent="0.25">
      <c r="A339" t="s">
        <v>39</v>
      </c>
      <c r="B339" s="1">
        <v>45597</v>
      </c>
      <c r="C339" s="2">
        <v>1287.5714</v>
      </c>
      <c r="D339" t="s">
        <v>53</v>
      </c>
      <c r="E339">
        <v>2024</v>
      </c>
    </row>
    <row r="340" spans="1:5" x14ac:dyDescent="0.25">
      <c r="A340" t="s">
        <v>39</v>
      </c>
      <c r="B340" s="1">
        <v>45627</v>
      </c>
      <c r="C340" s="2">
        <v>1280.4136000000001</v>
      </c>
      <c r="D340" t="s">
        <v>52</v>
      </c>
      <c r="E340">
        <v>2024</v>
      </c>
    </row>
    <row r="341" spans="1:5" hidden="1" x14ac:dyDescent="0.25">
      <c r="A341" t="s">
        <v>39</v>
      </c>
      <c r="B341" s="1">
        <v>45717</v>
      </c>
      <c r="C341" s="2">
        <v>1186.354</v>
      </c>
      <c r="D341" t="s">
        <v>13</v>
      </c>
      <c r="E341">
        <v>2025</v>
      </c>
    </row>
    <row r="342" spans="1:5" hidden="1" x14ac:dyDescent="0.25">
      <c r="A342" t="s">
        <v>39</v>
      </c>
      <c r="B342" s="1">
        <v>45689</v>
      </c>
      <c r="C342" s="2">
        <v>1140</v>
      </c>
      <c r="D342" t="s">
        <v>16</v>
      </c>
      <c r="E342">
        <v>2025</v>
      </c>
    </row>
    <row r="343" spans="1:5" hidden="1" x14ac:dyDescent="0.25">
      <c r="A343" t="s">
        <v>39</v>
      </c>
      <c r="B343" s="1">
        <v>45658</v>
      </c>
      <c r="C343" s="2">
        <v>1133.3333</v>
      </c>
      <c r="D343" t="s">
        <v>5</v>
      </c>
      <c r="E343">
        <v>2025</v>
      </c>
    </row>
    <row r="344" spans="1:5" hidden="1" x14ac:dyDescent="0.25">
      <c r="A344" t="s">
        <v>39</v>
      </c>
      <c r="B344" s="1">
        <v>45748</v>
      </c>
      <c r="C344" s="2">
        <v>1118.7982</v>
      </c>
      <c r="D344" t="s">
        <v>11</v>
      </c>
      <c r="E344">
        <v>2025</v>
      </c>
    </row>
    <row r="345" spans="1:5" x14ac:dyDescent="0.25">
      <c r="A345" t="s">
        <v>39</v>
      </c>
      <c r="B345" s="1">
        <v>45536</v>
      </c>
      <c r="C345" s="2">
        <v>1090.9375</v>
      </c>
      <c r="D345" t="s">
        <v>51</v>
      </c>
      <c r="E345">
        <v>2024</v>
      </c>
    </row>
    <row r="346" spans="1:5" x14ac:dyDescent="0.25">
      <c r="A346" t="s">
        <v>39</v>
      </c>
      <c r="B346" s="1">
        <v>45505</v>
      </c>
      <c r="C346" s="2">
        <v>863.3143</v>
      </c>
      <c r="D346" t="s">
        <v>50</v>
      </c>
      <c r="E346">
        <v>2024</v>
      </c>
    </row>
    <row r="347" spans="1:5" x14ac:dyDescent="0.25">
      <c r="A347" t="s">
        <v>39</v>
      </c>
      <c r="B347" s="1">
        <v>45444</v>
      </c>
      <c r="C347" s="2">
        <v>795.5</v>
      </c>
      <c r="D347" t="s">
        <v>48</v>
      </c>
      <c r="E347">
        <v>2024</v>
      </c>
    </row>
    <row r="348" spans="1:5" x14ac:dyDescent="0.25">
      <c r="A348" t="s">
        <v>39</v>
      </c>
      <c r="B348" s="1">
        <v>45474</v>
      </c>
      <c r="C348" s="2">
        <v>780.77139999999997</v>
      </c>
      <c r="D348" t="s">
        <v>47</v>
      </c>
      <c r="E348">
        <v>2024</v>
      </c>
    </row>
    <row r="349" spans="1:5" x14ac:dyDescent="0.25">
      <c r="A349" t="s">
        <v>39</v>
      </c>
      <c r="B349" s="1">
        <v>45413</v>
      </c>
      <c r="C349" s="2">
        <v>770</v>
      </c>
      <c r="D349" t="s">
        <v>9</v>
      </c>
      <c r="E349">
        <v>2024</v>
      </c>
    </row>
    <row r="350" spans="1:5" x14ac:dyDescent="0.25">
      <c r="A350" t="s">
        <v>39</v>
      </c>
      <c r="B350" s="1">
        <v>45352</v>
      </c>
      <c r="C350" s="2">
        <v>710.71429999999998</v>
      </c>
      <c r="D350" t="s">
        <v>13</v>
      </c>
      <c r="E350">
        <v>2024</v>
      </c>
    </row>
    <row r="351" spans="1:5" x14ac:dyDescent="0.25">
      <c r="A351" t="s">
        <v>39</v>
      </c>
      <c r="B351" s="1">
        <v>45383</v>
      </c>
      <c r="C351" s="2">
        <v>702.5</v>
      </c>
      <c r="D351" t="s">
        <v>11</v>
      </c>
      <c r="E351">
        <v>2024</v>
      </c>
    </row>
    <row r="352" spans="1:5" hidden="1" x14ac:dyDescent="0.25">
      <c r="A352" t="s">
        <v>39</v>
      </c>
      <c r="B352" s="1">
        <v>45261</v>
      </c>
      <c r="C352" s="2">
        <v>671.42859999999996</v>
      </c>
      <c r="D352" t="s">
        <v>52</v>
      </c>
      <c r="E352">
        <v>2023</v>
      </c>
    </row>
    <row r="353" spans="1:5" x14ac:dyDescent="0.25">
      <c r="A353" t="s">
        <v>39</v>
      </c>
      <c r="B353" s="1">
        <v>45323</v>
      </c>
      <c r="C353" s="2">
        <v>670</v>
      </c>
      <c r="D353" t="s">
        <v>16</v>
      </c>
      <c r="E353">
        <v>2024</v>
      </c>
    </row>
    <row r="354" spans="1:5" hidden="1" x14ac:dyDescent="0.25">
      <c r="A354" t="s">
        <v>39</v>
      </c>
      <c r="B354" s="1">
        <v>45231</v>
      </c>
      <c r="C354" s="2">
        <v>667.14290000000005</v>
      </c>
      <c r="D354" t="s">
        <v>53</v>
      </c>
      <c r="E354">
        <v>2023</v>
      </c>
    </row>
    <row r="355" spans="1:5" x14ac:dyDescent="0.25">
      <c r="A355" t="s">
        <v>39</v>
      </c>
      <c r="B355" s="1">
        <v>45292</v>
      </c>
      <c r="C355" s="2">
        <v>638.71429999999998</v>
      </c>
      <c r="D355" t="s">
        <v>5</v>
      </c>
      <c r="E355">
        <v>2024</v>
      </c>
    </row>
    <row r="356" spans="1:5" hidden="1" x14ac:dyDescent="0.25">
      <c r="A356" t="s">
        <v>39</v>
      </c>
      <c r="B356" s="1">
        <v>45139</v>
      </c>
      <c r="C356" s="2">
        <v>630</v>
      </c>
      <c r="D356" t="s">
        <v>50</v>
      </c>
      <c r="E356">
        <v>2023</v>
      </c>
    </row>
    <row r="357" spans="1:5" hidden="1" x14ac:dyDescent="0.25">
      <c r="A357" t="s">
        <v>39</v>
      </c>
      <c r="B357" s="1">
        <v>45170</v>
      </c>
      <c r="C357" s="2">
        <v>625.71429999999998</v>
      </c>
      <c r="D357" t="s">
        <v>51</v>
      </c>
      <c r="E357">
        <v>2023</v>
      </c>
    </row>
    <row r="358" spans="1:5" hidden="1" x14ac:dyDescent="0.25">
      <c r="A358" t="s">
        <v>39</v>
      </c>
      <c r="B358" s="1">
        <v>45200</v>
      </c>
      <c r="C358" s="2">
        <v>620</v>
      </c>
      <c r="D358" t="s">
        <v>49</v>
      </c>
      <c r="E358">
        <v>2023</v>
      </c>
    </row>
    <row r="359" spans="1:5" hidden="1" x14ac:dyDescent="0.25">
      <c r="A359" t="s">
        <v>39</v>
      </c>
      <c r="B359" s="1">
        <v>45108</v>
      </c>
      <c r="C359" s="2">
        <v>618</v>
      </c>
      <c r="D359" t="s">
        <v>47</v>
      </c>
      <c r="E359">
        <v>2023</v>
      </c>
    </row>
    <row r="360" spans="1:5" hidden="1" x14ac:dyDescent="0.25">
      <c r="A360" t="s">
        <v>39</v>
      </c>
      <c r="B360" s="1">
        <v>45078</v>
      </c>
      <c r="C360" s="2">
        <v>535</v>
      </c>
      <c r="D360" t="s">
        <v>48</v>
      </c>
      <c r="E360">
        <v>2023</v>
      </c>
    </row>
    <row r="361" spans="1:5" hidden="1" x14ac:dyDescent="0.25">
      <c r="A361" t="s">
        <v>39</v>
      </c>
      <c r="B361" s="1">
        <v>45017</v>
      </c>
      <c r="C361" s="2">
        <v>320</v>
      </c>
      <c r="D361" t="s">
        <v>11</v>
      </c>
      <c r="E361">
        <v>2023</v>
      </c>
    </row>
    <row r="362" spans="1:5" hidden="1" x14ac:dyDescent="0.25">
      <c r="A362" t="s">
        <v>39</v>
      </c>
      <c r="B362" s="1">
        <v>44958</v>
      </c>
      <c r="C362" s="2">
        <v>317.1429</v>
      </c>
      <c r="D362" t="s">
        <v>16</v>
      </c>
      <c r="E362">
        <v>2023</v>
      </c>
    </row>
    <row r="363" spans="1:5" hidden="1" x14ac:dyDescent="0.25">
      <c r="A363" t="s">
        <v>39</v>
      </c>
      <c r="B363" s="1">
        <v>44986</v>
      </c>
      <c r="C363" s="2">
        <v>301.66669999999999</v>
      </c>
      <c r="D363" t="s">
        <v>13</v>
      </c>
      <c r="E363">
        <v>2023</v>
      </c>
    </row>
    <row r="364" spans="1:5" hidden="1" x14ac:dyDescent="0.25">
      <c r="A364" t="s">
        <v>39</v>
      </c>
      <c r="B364" s="1">
        <v>44927</v>
      </c>
      <c r="C364" s="2">
        <v>286.36360000000002</v>
      </c>
      <c r="D364" t="s">
        <v>5</v>
      </c>
      <c r="E364">
        <v>2023</v>
      </c>
    </row>
    <row r="365" spans="1:5" hidden="1" x14ac:dyDescent="0.25">
      <c r="A365" t="s">
        <v>39</v>
      </c>
      <c r="B365" s="1">
        <v>45047</v>
      </c>
      <c r="C365" s="2">
        <v>235</v>
      </c>
      <c r="D365" t="s">
        <v>9</v>
      </c>
      <c r="E365">
        <v>2023</v>
      </c>
    </row>
    <row r="366" spans="1:5" hidden="1" x14ac:dyDescent="0.25">
      <c r="A366" t="s">
        <v>23</v>
      </c>
      <c r="B366" s="1">
        <v>45748</v>
      </c>
      <c r="C366" s="2">
        <v>1283.2363</v>
      </c>
      <c r="D366" t="s">
        <v>11</v>
      </c>
      <c r="E366">
        <v>2025</v>
      </c>
    </row>
    <row r="367" spans="1:5" hidden="1" x14ac:dyDescent="0.25">
      <c r="A367" t="s">
        <v>23</v>
      </c>
      <c r="B367" s="1">
        <v>45689</v>
      </c>
      <c r="C367" s="2">
        <v>1280</v>
      </c>
      <c r="D367" t="s">
        <v>16</v>
      </c>
      <c r="E367">
        <v>2025</v>
      </c>
    </row>
    <row r="368" spans="1:5" hidden="1" x14ac:dyDescent="0.25">
      <c r="A368" t="s">
        <v>23</v>
      </c>
      <c r="B368" s="1">
        <v>45717</v>
      </c>
      <c r="C368" s="2">
        <v>1256.6079999999999</v>
      </c>
      <c r="D368" t="s">
        <v>13</v>
      </c>
      <c r="E368">
        <v>2025</v>
      </c>
    </row>
    <row r="369" spans="1:5" x14ac:dyDescent="0.25">
      <c r="A369" t="s">
        <v>23</v>
      </c>
      <c r="B369" s="1">
        <v>45566</v>
      </c>
      <c r="C369" s="2">
        <v>1227.5</v>
      </c>
      <c r="D369" t="s">
        <v>49</v>
      </c>
      <c r="E369">
        <v>2024</v>
      </c>
    </row>
    <row r="370" spans="1:5" x14ac:dyDescent="0.25">
      <c r="A370" t="s">
        <v>23</v>
      </c>
      <c r="B370" s="1">
        <v>45597</v>
      </c>
      <c r="C370" s="2">
        <v>1187.6070999999999</v>
      </c>
      <c r="D370" t="s">
        <v>53</v>
      </c>
      <c r="E370">
        <v>2024</v>
      </c>
    </row>
    <row r="371" spans="1:5" hidden="1" x14ac:dyDescent="0.25">
      <c r="A371" t="s">
        <v>23</v>
      </c>
      <c r="B371" s="1">
        <v>45658</v>
      </c>
      <c r="C371" s="2">
        <v>1146</v>
      </c>
      <c r="D371" t="s">
        <v>5</v>
      </c>
      <c r="E371">
        <v>2025</v>
      </c>
    </row>
    <row r="372" spans="1:5" x14ac:dyDescent="0.25">
      <c r="A372" t="s">
        <v>23</v>
      </c>
      <c r="B372" s="1">
        <v>45627</v>
      </c>
      <c r="C372" s="2">
        <v>1142.4000000000001</v>
      </c>
      <c r="D372" t="s">
        <v>52</v>
      </c>
      <c r="E372">
        <v>2024</v>
      </c>
    </row>
    <row r="373" spans="1:5" x14ac:dyDescent="0.25">
      <c r="A373" t="s">
        <v>23</v>
      </c>
      <c r="B373" s="1">
        <v>45536</v>
      </c>
      <c r="C373" s="2">
        <v>1062.5</v>
      </c>
      <c r="D373" t="s">
        <v>51</v>
      </c>
      <c r="E373">
        <v>2024</v>
      </c>
    </row>
    <row r="374" spans="1:5" x14ac:dyDescent="0.25">
      <c r="A374" t="s">
        <v>23</v>
      </c>
      <c r="B374" s="1">
        <v>45444</v>
      </c>
      <c r="C374" s="2">
        <v>773.75</v>
      </c>
      <c r="D374" t="s">
        <v>48</v>
      </c>
      <c r="E374">
        <v>2024</v>
      </c>
    </row>
    <row r="375" spans="1:5" x14ac:dyDescent="0.25">
      <c r="A375" t="s">
        <v>23</v>
      </c>
      <c r="B375" s="1">
        <v>45413</v>
      </c>
      <c r="C375" s="2">
        <v>768.33330000000001</v>
      </c>
      <c r="D375" t="s">
        <v>9</v>
      </c>
      <c r="E375">
        <v>2024</v>
      </c>
    </row>
    <row r="376" spans="1:5" x14ac:dyDescent="0.25">
      <c r="A376" t="s">
        <v>23</v>
      </c>
      <c r="B376" s="1">
        <v>45383</v>
      </c>
      <c r="C376" s="2">
        <v>691.25</v>
      </c>
      <c r="D376" t="s">
        <v>11</v>
      </c>
      <c r="E376">
        <v>2024</v>
      </c>
    </row>
    <row r="377" spans="1:5" x14ac:dyDescent="0.25">
      <c r="A377" t="s">
        <v>23</v>
      </c>
      <c r="B377" s="1">
        <v>45352</v>
      </c>
      <c r="C377" s="2">
        <v>685</v>
      </c>
      <c r="D377" t="s">
        <v>13</v>
      </c>
      <c r="E377">
        <v>2024</v>
      </c>
    </row>
    <row r="378" spans="1:5" x14ac:dyDescent="0.25">
      <c r="A378" t="s">
        <v>23</v>
      </c>
      <c r="B378" s="1">
        <v>45505</v>
      </c>
      <c r="C378" s="2">
        <v>676.25</v>
      </c>
      <c r="D378" t="s">
        <v>50</v>
      </c>
      <c r="E378">
        <v>2024</v>
      </c>
    </row>
    <row r="379" spans="1:5" x14ac:dyDescent="0.25">
      <c r="A379" t="s">
        <v>23</v>
      </c>
      <c r="B379" s="1">
        <v>45323</v>
      </c>
      <c r="C379" s="2">
        <v>672.5</v>
      </c>
      <c r="D379" t="s">
        <v>16</v>
      </c>
      <c r="E379">
        <v>2024</v>
      </c>
    </row>
    <row r="380" spans="1:5" x14ac:dyDescent="0.25">
      <c r="A380" t="s">
        <v>23</v>
      </c>
      <c r="B380" s="1">
        <v>45474</v>
      </c>
      <c r="C380" s="2">
        <v>669.75</v>
      </c>
      <c r="D380" t="s">
        <v>47</v>
      </c>
      <c r="E380">
        <v>2024</v>
      </c>
    </row>
    <row r="381" spans="1:5" x14ac:dyDescent="0.25">
      <c r="A381" t="s">
        <v>23</v>
      </c>
      <c r="B381" s="1">
        <v>45292</v>
      </c>
      <c r="C381" s="2">
        <v>662</v>
      </c>
      <c r="D381" t="s">
        <v>5</v>
      </c>
      <c r="E381">
        <v>2024</v>
      </c>
    </row>
    <row r="382" spans="1:5" hidden="1" x14ac:dyDescent="0.25">
      <c r="A382" t="s">
        <v>23</v>
      </c>
      <c r="B382" s="1">
        <v>45261</v>
      </c>
      <c r="C382" s="2">
        <v>661.875</v>
      </c>
      <c r="D382" t="s">
        <v>52</v>
      </c>
      <c r="E382">
        <v>2023</v>
      </c>
    </row>
    <row r="383" spans="1:5" hidden="1" x14ac:dyDescent="0.25">
      <c r="A383" t="s">
        <v>23</v>
      </c>
      <c r="B383" s="1">
        <v>45231</v>
      </c>
      <c r="C383" s="2">
        <v>650</v>
      </c>
      <c r="D383" t="s">
        <v>53</v>
      </c>
      <c r="E383">
        <v>2023</v>
      </c>
    </row>
    <row r="384" spans="1:5" hidden="1" x14ac:dyDescent="0.25">
      <c r="A384" t="s">
        <v>23</v>
      </c>
      <c r="B384" s="1">
        <v>45200</v>
      </c>
      <c r="C384" s="2">
        <v>637.5</v>
      </c>
      <c r="D384" t="s">
        <v>49</v>
      </c>
      <c r="E384">
        <v>2023</v>
      </c>
    </row>
    <row r="385" spans="1:5" hidden="1" x14ac:dyDescent="0.25">
      <c r="A385" t="s">
        <v>23</v>
      </c>
      <c r="B385" s="1">
        <v>45170</v>
      </c>
      <c r="C385" s="2">
        <v>620</v>
      </c>
      <c r="D385" t="s">
        <v>51</v>
      </c>
      <c r="E385">
        <v>2023</v>
      </c>
    </row>
    <row r="386" spans="1:5" hidden="1" x14ac:dyDescent="0.25">
      <c r="A386" t="s">
        <v>23</v>
      </c>
      <c r="B386" s="1">
        <v>45139</v>
      </c>
      <c r="C386" s="2">
        <v>618.57140000000004</v>
      </c>
      <c r="D386" t="s">
        <v>50</v>
      </c>
      <c r="E386">
        <v>2023</v>
      </c>
    </row>
    <row r="387" spans="1:5" hidden="1" x14ac:dyDescent="0.25">
      <c r="A387" t="s">
        <v>23</v>
      </c>
      <c r="B387" s="1">
        <v>45078</v>
      </c>
      <c r="C387" s="2">
        <v>546.6</v>
      </c>
      <c r="D387" t="s">
        <v>48</v>
      </c>
      <c r="E387">
        <v>2023</v>
      </c>
    </row>
    <row r="388" spans="1:5" hidden="1" x14ac:dyDescent="0.25">
      <c r="A388" t="s">
        <v>23</v>
      </c>
      <c r="B388" s="1">
        <v>45108</v>
      </c>
      <c r="C388" s="2">
        <v>530</v>
      </c>
      <c r="D388" t="s">
        <v>47</v>
      </c>
      <c r="E388">
        <v>2023</v>
      </c>
    </row>
    <row r="389" spans="1:5" hidden="1" x14ac:dyDescent="0.25">
      <c r="A389" t="s">
        <v>23</v>
      </c>
      <c r="B389" s="1">
        <v>44927</v>
      </c>
      <c r="C389" s="2">
        <v>281.42860000000002</v>
      </c>
      <c r="D389" t="s">
        <v>5</v>
      </c>
      <c r="E389">
        <v>2023</v>
      </c>
    </row>
    <row r="390" spans="1:5" hidden="1" x14ac:dyDescent="0.25">
      <c r="A390" t="s">
        <v>23</v>
      </c>
      <c r="B390" s="1">
        <v>44986</v>
      </c>
      <c r="C390" s="2">
        <v>276.42860000000002</v>
      </c>
      <c r="D390" t="s">
        <v>13</v>
      </c>
      <c r="E390">
        <v>2023</v>
      </c>
    </row>
    <row r="391" spans="1:5" hidden="1" x14ac:dyDescent="0.25">
      <c r="A391" t="s">
        <v>23</v>
      </c>
      <c r="B391" s="1">
        <v>45047</v>
      </c>
      <c r="C391" s="2">
        <v>231.42859999999999</v>
      </c>
      <c r="D391" t="s">
        <v>9</v>
      </c>
      <c r="E391">
        <v>2023</v>
      </c>
    </row>
    <row r="392" spans="1:5" hidden="1" x14ac:dyDescent="0.25">
      <c r="A392" t="s">
        <v>23</v>
      </c>
      <c r="B392" s="1">
        <v>44958</v>
      </c>
      <c r="C392" s="2">
        <v>215.71430000000001</v>
      </c>
      <c r="D392" t="s">
        <v>16</v>
      </c>
      <c r="E392">
        <v>2023</v>
      </c>
    </row>
    <row r="393" spans="1:5" hidden="1" x14ac:dyDescent="0.25">
      <c r="A393" t="s">
        <v>23</v>
      </c>
      <c r="B393" s="1">
        <v>45017</v>
      </c>
      <c r="C393" s="2">
        <v>210</v>
      </c>
      <c r="D393" t="s">
        <v>11</v>
      </c>
      <c r="E393">
        <v>2023</v>
      </c>
    </row>
    <row r="394" spans="1:5" hidden="1" x14ac:dyDescent="0.25">
      <c r="A394" t="s">
        <v>41</v>
      </c>
      <c r="B394" s="1">
        <v>45748</v>
      </c>
      <c r="C394" s="2">
        <v>1226.2971</v>
      </c>
      <c r="D394" t="s">
        <v>11</v>
      </c>
      <c r="E394">
        <v>2025</v>
      </c>
    </row>
    <row r="395" spans="1:5" x14ac:dyDescent="0.25">
      <c r="A395" t="s">
        <v>41</v>
      </c>
      <c r="B395" s="1">
        <v>45597</v>
      </c>
      <c r="C395" s="2">
        <v>1182.3810000000001</v>
      </c>
      <c r="D395" t="s">
        <v>53</v>
      </c>
      <c r="E395">
        <v>2024</v>
      </c>
    </row>
    <row r="396" spans="1:5" hidden="1" x14ac:dyDescent="0.25">
      <c r="A396" t="s">
        <v>41</v>
      </c>
      <c r="B396" s="1">
        <v>45658</v>
      </c>
      <c r="C396" s="2">
        <v>1180</v>
      </c>
      <c r="D396" t="s">
        <v>5</v>
      </c>
      <c r="E396">
        <v>2025</v>
      </c>
    </row>
    <row r="397" spans="1:5" x14ac:dyDescent="0.25">
      <c r="A397" t="s">
        <v>41</v>
      </c>
      <c r="B397" s="1">
        <v>45627</v>
      </c>
      <c r="C397" s="2">
        <v>1120</v>
      </c>
      <c r="D397" t="s">
        <v>52</v>
      </c>
      <c r="E397">
        <v>2024</v>
      </c>
    </row>
    <row r="398" spans="1:5" x14ac:dyDescent="0.25">
      <c r="A398" t="s">
        <v>41</v>
      </c>
      <c r="B398" s="1">
        <v>45566</v>
      </c>
      <c r="C398" s="2">
        <v>1116.4706000000001</v>
      </c>
      <c r="D398" t="s">
        <v>49</v>
      </c>
      <c r="E398">
        <v>2024</v>
      </c>
    </row>
    <row r="399" spans="1:5" x14ac:dyDescent="0.25">
      <c r="A399" t="s">
        <v>41</v>
      </c>
      <c r="B399" s="1">
        <v>45536</v>
      </c>
      <c r="C399" s="2">
        <v>1039.3333</v>
      </c>
      <c r="D399" t="s">
        <v>51</v>
      </c>
      <c r="E399">
        <v>2024</v>
      </c>
    </row>
    <row r="400" spans="1:5" hidden="1" x14ac:dyDescent="0.25">
      <c r="A400" t="s">
        <v>41</v>
      </c>
      <c r="B400" s="1">
        <v>45717</v>
      </c>
      <c r="C400" s="2">
        <v>963.40229999999997</v>
      </c>
      <c r="D400" t="s">
        <v>13</v>
      </c>
      <c r="E400">
        <v>2025</v>
      </c>
    </row>
    <row r="401" spans="1:5" hidden="1" x14ac:dyDescent="0.25">
      <c r="A401" t="s">
        <v>41</v>
      </c>
      <c r="B401" s="1">
        <v>45689</v>
      </c>
      <c r="C401" s="2">
        <v>956.66669999999999</v>
      </c>
      <c r="D401" t="s">
        <v>16</v>
      </c>
      <c r="E401">
        <v>2025</v>
      </c>
    </row>
    <row r="402" spans="1:5" x14ac:dyDescent="0.25">
      <c r="A402" t="s">
        <v>41</v>
      </c>
      <c r="B402" s="1">
        <v>45505</v>
      </c>
      <c r="C402" s="2">
        <v>830.83330000000001</v>
      </c>
      <c r="D402" t="s">
        <v>50</v>
      </c>
      <c r="E402">
        <v>2024</v>
      </c>
    </row>
    <row r="403" spans="1:5" x14ac:dyDescent="0.25">
      <c r="A403" t="s">
        <v>41</v>
      </c>
      <c r="B403" s="1">
        <v>45413</v>
      </c>
      <c r="C403" s="2">
        <v>798</v>
      </c>
      <c r="D403" t="s">
        <v>9</v>
      </c>
      <c r="E403">
        <v>2024</v>
      </c>
    </row>
    <row r="404" spans="1:5" x14ac:dyDescent="0.25">
      <c r="A404" t="s">
        <v>41</v>
      </c>
      <c r="B404" s="1">
        <v>45474</v>
      </c>
      <c r="C404" s="2">
        <v>774.375</v>
      </c>
      <c r="D404" t="s">
        <v>47</v>
      </c>
      <c r="E404">
        <v>2024</v>
      </c>
    </row>
    <row r="405" spans="1:5" x14ac:dyDescent="0.25">
      <c r="A405" t="s">
        <v>41</v>
      </c>
      <c r="B405" s="1">
        <v>45444</v>
      </c>
      <c r="C405" s="2">
        <v>747.22220000000004</v>
      </c>
      <c r="D405" t="s">
        <v>48</v>
      </c>
      <c r="E405">
        <v>2024</v>
      </c>
    </row>
    <row r="406" spans="1:5" x14ac:dyDescent="0.25">
      <c r="A406" t="s">
        <v>41</v>
      </c>
      <c r="B406" s="1">
        <v>45383</v>
      </c>
      <c r="C406" s="2">
        <v>661.66669999999999</v>
      </c>
      <c r="D406" t="s">
        <v>11</v>
      </c>
      <c r="E406">
        <v>2024</v>
      </c>
    </row>
    <row r="407" spans="1:5" x14ac:dyDescent="0.25">
      <c r="A407" t="s">
        <v>41</v>
      </c>
      <c r="B407" s="1">
        <v>45352</v>
      </c>
      <c r="C407" s="2">
        <v>661.5625</v>
      </c>
      <c r="D407" t="s">
        <v>13</v>
      </c>
      <c r="E407">
        <v>2024</v>
      </c>
    </row>
    <row r="408" spans="1:5" x14ac:dyDescent="0.25">
      <c r="A408" t="s">
        <v>41</v>
      </c>
      <c r="B408" s="1">
        <v>45323</v>
      </c>
      <c r="C408" s="2">
        <v>655</v>
      </c>
      <c r="D408" t="s">
        <v>16</v>
      </c>
      <c r="E408">
        <v>2024</v>
      </c>
    </row>
    <row r="409" spans="1:5" hidden="1" x14ac:dyDescent="0.25">
      <c r="A409" t="s">
        <v>41</v>
      </c>
      <c r="B409" s="1">
        <v>45261</v>
      </c>
      <c r="C409" s="2">
        <v>653.4375</v>
      </c>
      <c r="D409" t="s">
        <v>52</v>
      </c>
      <c r="E409">
        <v>2023</v>
      </c>
    </row>
    <row r="410" spans="1:5" x14ac:dyDescent="0.25">
      <c r="A410" t="s">
        <v>41</v>
      </c>
      <c r="B410" s="1">
        <v>45292</v>
      </c>
      <c r="C410" s="2">
        <v>651.33130000000006</v>
      </c>
      <c r="D410" t="s">
        <v>5</v>
      </c>
      <c r="E410">
        <v>2024</v>
      </c>
    </row>
    <row r="411" spans="1:5" hidden="1" x14ac:dyDescent="0.25">
      <c r="A411" t="s">
        <v>41</v>
      </c>
      <c r="B411" s="1">
        <v>45231</v>
      </c>
      <c r="C411" s="2">
        <v>641.25</v>
      </c>
      <c r="D411" t="s">
        <v>53</v>
      </c>
      <c r="E411">
        <v>2023</v>
      </c>
    </row>
    <row r="412" spans="1:5" hidden="1" x14ac:dyDescent="0.25">
      <c r="A412" t="s">
        <v>41</v>
      </c>
      <c r="B412" s="1">
        <v>45139</v>
      </c>
      <c r="C412" s="2">
        <v>625.75</v>
      </c>
      <c r="D412" t="s">
        <v>50</v>
      </c>
      <c r="E412">
        <v>2023</v>
      </c>
    </row>
    <row r="413" spans="1:5" hidden="1" x14ac:dyDescent="0.25">
      <c r="A413" t="s">
        <v>41</v>
      </c>
      <c r="B413" s="1">
        <v>45170</v>
      </c>
      <c r="C413" s="2">
        <v>619.6875</v>
      </c>
      <c r="D413" t="s">
        <v>51</v>
      </c>
      <c r="E413">
        <v>2023</v>
      </c>
    </row>
    <row r="414" spans="1:5" hidden="1" x14ac:dyDescent="0.25">
      <c r="A414" t="s">
        <v>41</v>
      </c>
      <c r="B414" s="1">
        <v>45108</v>
      </c>
      <c r="C414" s="2">
        <v>619.57140000000004</v>
      </c>
      <c r="D414" t="s">
        <v>47</v>
      </c>
      <c r="E414">
        <v>2023</v>
      </c>
    </row>
    <row r="415" spans="1:5" hidden="1" x14ac:dyDescent="0.25">
      <c r="A415" t="s">
        <v>41</v>
      </c>
      <c r="B415" s="1">
        <v>45200</v>
      </c>
      <c r="C415" s="2">
        <v>613.57140000000004</v>
      </c>
      <c r="D415" t="s">
        <v>49</v>
      </c>
      <c r="E415">
        <v>2023</v>
      </c>
    </row>
    <row r="416" spans="1:5" hidden="1" x14ac:dyDescent="0.25">
      <c r="A416" t="s">
        <v>41</v>
      </c>
      <c r="B416" s="1">
        <v>45078</v>
      </c>
      <c r="C416" s="2">
        <v>539.33330000000001</v>
      </c>
      <c r="D416" t="s">
        <v>48</v>
      </c>
      <c r="E416">
        <v>2023</v>
      </c>
    </row>
    <row r="417" spans="1:5" hidden="1" x14ac:dyDescent="0.25">
      <c r="A417" t="s">
        <v>41</v>
      </c>
      <c r="B417" s="1">
        <v>44958</v>
      </c>
      <c r="C417" s="2">
        <v>308.92860000000002</v>
      </c>
      <c r="D417" t="s">
        <v>16</v>
      </c>
      <c r="E417">
        <v>2023</v>
      </c>
    </row>
    <row r="418" spans="1:5" hidden="1" x14ac:dyDescent="0.25">
      <c r="A418" t="s">
        <v>41</v>
      </c>
      <c r="B418" s="1">
        <v>45017</v>
      </c>
      <c r="C418" s="2">
        <v>305</v>
      </c>
      <c r="D418" t="s">
        <v>11</v>
      </c>
      <c r="E418">
        <v>2023</v>
      </c>
    </row>
    <row r="419" spans="1:5" hidden="1" x14ac:dyDescent="0.25">
      <c r="A419" t="s">
        <v>41</v>
      </c>
      <c r="B419" s="1">
        <v>44927</v>
      </c>
      <c r="C419" s="2">
        <v>257.36840000000001</v>
      </c>
      <c r="D419" t="s">
        <v>5</v>
      </c>
      <c r="E419">
        <v>2023</v>
      </c>
    </row>
    <row r="420" spans="1:5" hidden="1" x14ac:dyDescent="0.25">
      <c r="A420" t="s">
        <v>41</v>
      </c>
      <c r="B420" s="1">
        <v>45047</v>
      </c>
      <c r="C420" s="2">
        <v>240.88239999999999</v>
      </c>
      <c r="D420" t="s">
        <v>9</v>
      </c>
      <c r="E420">
        <v>2023</v>
      </c>
    </row>
    <row r="421" spans="1:5" hidden="1" x14ac:dyDescent="0.25">
      <c r="A421" t="s">
        <v>41</v>
      </c>
      <c r="B421" s="1">
        <v>44986</v>
      </c>
      <c r="C421" s="2">
        <v>239.28569999999999</v>
      </c>
      <c r="D421" t="s">
        <v>13</v>
      </c>
      <c r="E421">
        <v>2023</v>
      </c>
    </row>
    <row r="422" spans="1:5" hidden="1" x14ac:dyDescent="0.25">
      <c r="A422" t="s">
        <v>45</v>
      </c>
      <c r="B422" s="1">
        <v>45748</v>
      </c>
      <c r="C422" s="2">
        <v>1533.4083000000001</v>
      </c>
      <c r="D422" t="s">
        <v>11</v>
      </c>
      <c r="E422">
        <v>2025</v>
      </c>
    </row>
    <row r="423" spans="1:5" hidden="1" x14ac:dyDescent="0.25">
      <c r="A423" t="s">
        <v>45</v>
      </c>
      <c r="B423" s="1">
        <v>45717</v>
      </c>
      <c r="C423" s="2">
        <v>1500</v>
      </c>
      <c r="D423" t="s">
        <v>13</v>
      </c>
      <c r="E423">
        <v>2025</v>
      </c>
    </row>
    <row r="424" spans="1:5" hidden="1" x14ac:dyDescent="0.25">
      <c r="A424" t="s">
        <v>45</v>
      </c>
      <c r="B424" s="1">
        <v>45689</v>
      </c>
      <c r="C424" s="2">
        <v>1500</v>
      </c>
      <c r="D424" t="s">
        <v>16</v>
      </c>
      <c r="E424">
        <v>2025</v>
      </c>
    </row>
    <row r="425" spans="1:5" hidden="1" x14ac:dyDescent="0.25">
      <c r="A425" t="s">
        <v>45</v>
      </c>
      <c r="B425" s="1">
        <v>45658</v>
      </c>
      <c r="C425" s="2">
        <v>1433.3333</v>
      </c>
      <c r="D425" t="s">
        <v>5</v>
      </c>
      <c r="E425">
        <v>2025</v>
      </c>
    </row>
    <row r="426" spans="1:5" x14ac:dyDescent="0.25">
      <c r="A426" t="s">
        <v>45</v>
      </c>
      <c r="B426" s="1">
        <v>45627</v>
      </c>
      <c r="C426" s="2">
        <v>1278.4666999999999</v>
      </c>
      <c r="D426" t="s">
        <v>52</v>
      </c>
      <c r="E426">
        <v>2024</v>
      </c>
    </row>
    <row r="427" spans="1:5" x14ac:dyDescent="0.25">
      <c r="A427" t="s">
        <v>45</v>
      </c>
      <c r="B427" s="1">
        <v>45597</v>
      </c>
      <c r="C427" s="2">
        <v>1245.5555999999999</v>
      </c>
      <c r="D427" t="s">
        <v>53</v>
      </c>
      <c r="E427">
        <v>2024</v>
      </c>
    </row>
    <row r="428" spans="1:5" x14ac:dyDescent="0.25">
      <c r="A428" t="s">
        <v>45</v>
      </c>
      <c r="B428" s="1">
        <v>45566</v>
      </c>
      <c r="C428" s="2">
        <v>1192.2008000000001</v>
      </c>
      <c r="D428" t="s">
        <v>49</v>
      </c>
      <c r="E428">
        <v>2024</v>
      </c>
    </row>
    <row r="429" spans="1:5" x14ac:dyDescent="0.25">
      <c r="A429" t="s">
        <v>45</v>
      </c>
      <c r="B429" s="1">
        <v>45536</v>
      </c>
      <c r="C429" s="2">
        <v>990.08749999999998</v>
      </c>
      <c r="D429" t="s">
        <v>51</v>
      </c>
      <c r="E429">
        <v>2024</v>
      </c>
    </row>
    <row r="430" spans="1:5" x14ac:dyDescent="0.25">
      <c r="A430" t="s">
        <v>45</v>
      </c>
      <c r="B430" s="1">
        <v>45505</v>
      </c>
      <c r="C430" s="2">
        <v>871.8877</v>
      </c>
      <c r="D430" t="s">
        <v>50</v>
      </c>
      <c r="E430">
        <v>2024</v>
      </c>
    </row>
    <row r="431" spans="1:5" x14ac:dyDescent="0.25">
      <c r="A431" t="s">
        <v>45</v>
      </c>
      <c r="B431" s="1">
        <v>45444</v>
      </c>
      <c r="C431" s="2">
        <v>797.78949999999998</v>
      </c>
      <c r="D431" t="s">
        <v>48</v>
      </c>
      <c r="E431">
        <v>2024</v>
      </c>
    </row>
    <row r="432" spans="1:5" x14ac:dyDescent="0.25">
      <c r="A432" t="s">
        <v>45</v>
      </c>
      <c r="B432" s="1">
        <v>45474</v>
      </c>
      <c r="C432" s="2">
        <v>780.28089999999997</v>
      </c>
      <c r="D432" t="s">
        <v>47</v>
      </c>
      <c r="E432">
        <v>2024</v>
      </c>
    </row>
    <row r="433" spans="1:5" x14ac:dyDescent="0.25">
      <c r="A433" t="s">
        <v>45</v>
      </c>
      <c r="B433" s="1">
        <v>45413</v>
      </c>
      <c r="C433" s="2">
        <v>765</v>
      </c>
      <c r="D433" t="s">
        <v>9</v>
      </c>
      <c r="E433">
        <v>2024</v>
      </c>
    </row>
    <row r="434" spans="1:5" x14ac:dyDescent="0.25">
      <c r="A434" t="s">
        <v>45</v>
      </c>
      <c r="B434" s="1">
        <v>45352</v>
      </c>
      <c r="C434" s="2">
        <v>713.125</v>
      </c>
      <c r="D434" t="s">
        <v>13</v>
      </c>
      <c r="E434">
        <v>2024</v>
      </c>
    </row>
    <row r="435" spans="1:5" x14ac:dyDescent="0.25">
      <c r="A435" t="s">
        <v>45</v>
      </c>
      <c r="B435" s="1">
        <v>45383</v>
      </c>
      <c r="C435" s="2">
        <v>705.75</v>
      </c>
      <c r="D435" t="s">
        <v>11</v>
      </c>
      <c r="E435">
        <v>2024</v>
      </c>
    </row>
    <row r="436" spans="1:5" x14ac:dyDescent="0.25">
      <c r="A436" t="s">
        <v>45</v>
      </c>
      <c r="B436" s="1">
        <v>45323</v>
      </c>
      <c r="C436" s="2">
        <v>688.21</v>
      </c>
      <c r="D436" t="s">
        <v>16</v>
      </c>
      <c r="E436">
        <v>2024</v>
      </c>
    </row>
    <row r="437" spans="1:5" x14ac:dyDescent="0.25">
      <c r="A437" t="s">
        <v>45</v>
      </c>
      <c r="B437" s="1">
        <v>45292</v>
      </c>
      <c r="C437" s="2">
        <v>673.87220000000002</v>
      </c>
      <c r="D437" t="s">
        <v>5</v>
      </c>
      <c r="E437">
        <v>2024</v>
      </c>
    </row>
    <row r="438" spans="1:5" hidden="1" x14ac:dyDescent="0.25">
      <c r="A438" t="s">
        <v>45</v>
      </c>
      <c r="B438" s="1">
        <v>45261</v>
      </c>
      <c r="C438" s="2">
        <v>673.125</v>
      </c>
      <c r="D438" t="s">
        <v>52</v>
      </c>
      <c r="E438">
        <v>2023</v>
      </c>
    </row>
    <row r="439" spans="1:5" hidden="1" x14ac:dyDescent="0.25">
      <c r="A439" t="s">
        <v>45</v>
      </c>
      <c r="B439" s="1">
        <v>45231</v>
      </c>
      <c r="C439" s="2">
        <v>651.52170000000001</v>
      </c>
      <c r="D439" t="s">
        <v>53</v>
      </c>
      <c r="E439">
        <v>2023</v>
      </c>
    </row>
    <row r="440" spans="1:5" hidden="1" x14ac:dyDescent="0.25">
      <c r="A440" t="s">
        <v>45</v>
      </c>
      <c r="B440" s="1">
        <v>45108</v>
      </c>
      <c r="C440" s="2">
        <v>640</v>
      </c>
      <c r="D440" t="s">
        <v>47</v>
      </c>
      <c r="E440">
        <v>2023</v>
      </c>
    </row>
    <row r="441" spans="1:5" hidden="1" x14ac:dyDescent="0.25">
      <c r="A441" t="s">
        <v>45</v>
      </c>
      <c r="B441" s="1">
        <v>45170</v>
      </c>
      <c r="C441" s="2">
        <v>628.88890000000004</v>
      </c>
      <c r="D441" t="s">
        <v>51</v>
      </c>
      <c r="E441">
        <v>2023</v>
      </c>
    </row>
    <row r="442" spans="1:5" hidden="1" x14ac:dyDescent="0.25">
      <c r="A442" t="s">
        <v>45</v>
      </c>
      <c r="B442" s="1">
        <v>45139</v>
      </c>
      <c r="C442" s="2">
        <v>627.85709999999995</v>
      </c>
      <c r="D442" t="s">
        <v>50</v>
      </c>
      <c r="E442">
        <v>2023</v>
      </c>
    </row>
    <row r="443" spans="1:5" hidden="1" x14ac:dyDescent="0.25">
      <c r="A443" t="s">
        <v>45</v>
      </c>
      <c r="B443" s="1">
        <v>45200</v>
      </c>
      <c r="C443" s="2">
        <v>621.92309999999998</v>
      </c>
      <c r="D443" t="s">
        <v>49</v>
      </c>
      <c r="E443">
        <v>2023</v>
      </c>
    </row>
    <row r="444" spans="1:5" hidden="1" x14ac:dyDescent="0.25">
      <c r="A444" t="s">
        <v>45</v>
      </c>
      <c r="B444" s="1">
        <v>45078</v>
      </c>
      <c r="C444" s="2">
        <v>542.77779999999996</v>
      </c>
      <c r="D444" t="s">
        <v>48</v>
      </c>
      <c r="E444">
        <v>2023</v>
      </c>
    </row>
    <row r="445" spans="1:5" hidden="1" x14ac:dyDescent="0.25">
      <c r="A445" t="s">
        <v>45</v>
      </c>
      <c r="B445" s="1">
        <v>44927</v>
      </c>
      <c r="C445" s="2">
        <v>313.125</v>
      </c>
      <c r="D445" t="s">
        <v>5</v>
      </c>
      <c r="E445">
        <v>2023</v>
      </c>
    </row>
    <row r="446" spans="1:5" hidden="1" x14ac:dyDescent="0.25">
      <c r="A446" t="s">
        <v>45</v>
      </c>
      <c r="B446" s="1">
        <v>44986</v>
      </c>
      <c r="C446" s="2">
        <v>309</v>
      </c>
      <c r="D446" t="s">
        <v>13</v>
      </c>
      <c r="E446">
        <v>2023</v>
      </c>
    </row>
    <row r="447" spans="1:5" hidden="1" x14ac:dyDescent="0.25">
      <c r="A447" t="s">
        <v>45</v>
      </c>
      <c r="B447" s="1">
        <v>44958</v>
      </c>
      <c r="C447" s="2">
        <v>301.30430000000001</v>
      </c>
      <c r="D447" t="s">
        <v>16</v>
      </c>
      <c r="E447">
        <v>2023</v>
      </c>
    </row>
    <row r="448" spans="1:5" hidden="1" x14ac:dyDescent="0.25">
      <c r="A448" t="s">
        <v>45</v>
      </c>
      <c r="B448" s="1">
        <v>45047</v>
      </c>
      <c r="C448" s="2">
        <v>287.66669999999999</v>
      </c>
      <c r="D448" t="s">
        <v>9</v>
      </c>
      <c r="E448">
        <v>2023</v>
      </c>
    </row>
    <row r="449" spans="1:5" hidden="1" x14ac:dyDescent="0.25">
      <c r="A449" t="s">
        <v>45</v>
      </c>
      <c r="B449" s="1">
        <v>45017</v>
      </c>
      <c r="C449" s="2">
        <v>262.30770000000001</v>
      </c>
      <c r="D449" t="s">
        <v>11</v>
      </c>
      <c r="E449">
        <v>2023</v>
      </c>
    </row>
    <row r="450" spans="1:5" x14ac:dyDescent="0.25">
      <c r="A450" t="s">
        <v>32</v>
      </c>
      <c r="B450" s="1">
        <v>45597</v>
      </c>
      <c r="C450" s="2">
        <v>1232.8</v>
      </c>
      <c r="D450" t="s">
        <v>53</v>
      </c>
      <c r="E450">
        <v>2024</v>
      </c>
    </row>
    <row r="451" spans="1:5" x14ac:dyDescent="0.25">
      <c r="A451" t="s">
        <v>32</v>
      </c>
      <c r="B451" s="1">
        <v>45566</v>
      </c>
      <c r="C451" s="2">
        <v>1232.8</v>
      </c>
      <c r="D451" t="s">
        <v>49</v>
      </c>
      <c r="E451">
        <v>2024</v>
      </c>
    </row>
    <row r="452" spans="1:5" x14ac:dyDescent="0.25">
      <c r="A452" t="s">
        <v>32</v>
      </c>
      <c r="B452" s="1">
        <v>45627</v>
      </c>
      <c r="C452" s="2">
        <v>1176.125</v>
      </c>
      <c r="D452" t="s">
        <v>52</v>
      </c>
      <c r="E452">
        <v>2024</v>
      </c>
    </row>
    <row r="453" spans="1:5" hidden="1" x14ac:dyDescent="0.25">
      <c r="A453" t="s">
        <v>32</v>
      </c>
      <c r="B453" s="1">
        <v>45717</v>
      </c>
      <c r="C453" s="2">
        <v>1155.4083000000001</v>
      </c>
      <c r="D453" t="s">
        <v>13</v>
      </c>
      <c r="E453">
        <v>2025</v>
      </c>
    </row>
    <row r="454" spans="1:5" hidden="1" x14ac:dyDescent="0.25">
      <c r="A454" t="s">
        <v>32</v>
      </c>
      <c r="B454" s="1">
        <v>45689</v>
      </c>
      <c r="C454" s="2">
        <v>1093.3333</v>
      </c>
      <c r="D454" t="s">
        <v>16</v>
      </c>
      <c r="E454">
        <v>2025</v>
      </c>
    </row>
    <row r="455" spans="1:5" hidden="1" x14ac:dyDescent="0.25">
      <c r="A455" t="s">
        <v>32</v>
      </c>
      <c r="B455" s="1">
        <v>45658</v>
      </c>
      <c r="C455" s="2">
        <v>1090</v>
      </c>
      <c r="D455" t="s">
        <v>5</v>
      </c>
      <c r="E455">
        <v>2025</v>
      </c>
    </row>
    <row r="456" spans="1:5" hidden="1" x14ac:dyDescent="0.25">
      <c r="A456" t="s">
        <v>32</v>
      </c>
      <c r="B456" s="1">
        <v>45748</v>
      </c>
      <c r="C456" s="2">
        <v>1060.9260999999999</v>
      </c>
      <c r="D456" t="s">
        <v>11</v>
      </c>
      <c r="E456">
        <v>2025</v>
      </c>
    </row>
    <row r="457" spans="1:5" x14ac:dyDescent="0.25">
      <c r="A457" t="s">
        <v>32</v>
      </c>
      <c r="B457" s="1">
        <v>45536</v>
      </c>
      <c r="C457" s="2">
        <v>990</v>
      </c>
      <c r="D457" t="s">
        <v>51</v>
      </c>
      <c r="E457">
        <v>2024</v>
      </c>
    </row>
    <row r="458" spans="1:5" x14ac:dyDescent="0.25">
      <c r="A458" t="s">
        <v>32</v>
      </c>
      <c r="B458" s="1">
        <v>45505</v>
      </c>
      <c r="C458" s="2">
        <v>925</v>
      </c>
      <c r="D458" t="s">
        <v>50</v>
      </c>
      <c r="E458">
        <v>2024</v>
      </c>
    </row>
    <row r="459" spans="1:5" x14ac:dyDescent="0.25">
      <c r="A459" t="s">
        <v>32</v>
      </c>
      <c r="B459" s="1">
        <v>45474</v>
      </c>
      <c r="C459" s="2">
        <v>809.15</v>
      </c>
      <c r="D459" t="s">
        <v>47</v>
      </c>
      <c r="E459">
        <v>2024</v>
      </c>
    </row>
    <row r="460" spans="1:5" x14ac:dyDescent="0.25">
      <c r="A460" t="s">
        <v>32</v>
      </c>
      <c r="B460" s="1">
        <v>45413</v>
      </c>
      <c r="C460" s="2">
        <v>766.53750000000002</v>
      </c>
      <c r="D460" t="s">
        <v>9</v>
      </c>
      <c r="E460">
        <v>2024</v>
      </c>
    </row>
    <row r="461" spans="1:5" x14ac:dyDescent="0.25">
      <c r="A461" t="s">
        <v>32</v>
      </c>
      <c r="B461" s="1">
        <v>45444</v>
      </c>
      <c r="C461" s="2">
        <v>727.14290000000005</v>
      </c>
      <c r="D461" t="s">
        <v>48</v>
      </c>
      <c r="E461">
        <v>2024</v>
      </c>
    </row>
    <row r="462" spans="1:5" x14ac:dyDescent="0.25">
      <c r="A462" t="s">
        <v>32</v>
      </c>
      <c r="B462" s="1">
        <v>45352</v>
      </c>
      <c r="C462" s="2">
        <v>719.33330000000001</v>
      </c>
      <c r="D462" t="s">
        <v>13</v>
      </c>
      <c r="E462">
        <v>2024</v>
      </c>
    </row>
    <row r="463" spans="1:5" x14ac:dyDescent="0.25">
      <c r="A463" t="s">
        <v>32</v>
      </c>
      <c r="B463" s="1">
        <v>45383</v>
      </c>
      <c r="C463" s="2">
        <v>717</v>
      </c>
      <c r="D463" t="s">
        <v>11</v>
      </c>
      <c r="E463">
        <v>2024</v>
      </c>
    </row>
    <row r="464" spans="1:5" x14ac:dyDescent="0.25">
      <c r="A464" t="s">
        <v>32</v>
      </c>
      <c r="B464" s="1">
        <v>45323</v>
      </c>
      <c r="C464" s="2">
        <v>710</v>
      </c>
      <c r="D464" t="s">
        <v>16</v>
      </c>
      <c r="E464">
        <v>2024</v>
      </c>
    </row>
    <row r="465" spans="1:5" x14ac:dyDescent="0.25">
      <c r="A465" t="s">
        <v>32</v>
      </c>
      <c r="B465" s="1">
        <v>45292</v>
      </c>
      <c r="C465" s="2">
        <v>703</v>
      </c>
      <c r="D465" t="s">
        <v>5</v>
      </c>
      <c r="E465">
        <v>2024</v>
      </c>
    </row>
    <row r="466" spans="1:5" hidden="1" x14ac:dyDescent="0.25">
      <c r="A466" t="s">
        <v>32</v>
      </c>
      <c r="B466" s="1">
        <v>45261</v>
      </c>
      <c r="C466" s="2">
        <v>703</v>
      </c>
      <c r="D466" t="s">
        <v>52</v>
      </c>
      <c r="E466">
        <v>2023</v>
      </c>
    </row>
    <row r="467" spans="1:5" hidden="1" x14ac:dyDescent="0.25">
      <c r="A467" t="s">
        <v>32</v>
      </c>
      <c r="B467" s="1">
        <v>45200</v>
      </c>
      <c r="C467" s="2">
        <v>658.33330000000001</v>
      </c>
      <c r="D467" t="s">
        <v>49</v>
      </c>
      <c r="E467">
        <v>2023</v>
      </c>
    </row>
    <row r="468" spans="1:5" hidden="1" x14ac:dyDescent="0.25">
      <c r="A468" t="s">
        <v>32</v>
      </c>
      <c r="B468" s="1">
        <v>45108</v>
      </c>
      <c r="C468" s="2">
        <v>642.22220000000004</v>
      </c>
      <c r="D468" t="s">
        <v>47</v>
      </c>
      <c r="E468">
        <v>2023</v>
      </c>
    </row>
    <row r="469" spans="1:5" hidden="1" x14ac:dyDescent="0.25">
      <c r="A469" t="s">
        <v>32</v>
      </c>
      <c r="B469" s="1">
        <v>45139</v>
      </c>
      <c r="C469" s="2">
        <v>633.5</v>
      </c>
      <c r="D469" t="s">
        <v>50</v>
      </c>
      <c r="E469">
        <v>2023</v>
      </c>
    </row>
    <row r="470" spans="1:5" hidden="1" x14ac:dyDescent="0.25">
      <c r="A470" t="s">
        <v>32</v>
      </c>
      <c r="B470" s="1">
        <v>45170</v>
      </c>
      <c r="C470" s="2">
        <v>630</v>
      </c>
      <c r="D470" t="s">
        <v>51</v>
      </c>
      <c r="E470">
        <v>2023</v>
      </c>
    </row>
    <row r="471" spans="1:5" hidden="1" x14ac:dyDescent="0.25">
      <c r="A471" t="s">
        <v>32</v>
      </c>
      <c r="B471" s="1">
        <v>45231</v>
      </c>
      <c r="C471" s="2">
        <v>625.125</v>
      </c>
      <c r="D471" t="s">
        <v>53</v>
      </c>
      <c r="E471">
        <v>2023</v>
      </c>
    </row>
    <row r="472" spans="1:5" hidden="1" x14ac:dyDescent="0.25">
      <c r="A472" t="s">
        <v>32</v>
      </c>
      <c r="B472" s="1">
        <v>45078</v>
      </c>
      <c r="C472" s="2">
        <v>560.83330000000001</v>
      </c>
      <c r="D472" t="s">
        <v>48</v>
      </c>
      <c r="E472">
        <v>2023</v>
      </c>
    </row>
    <row r="473" spans="1:5" hidden="1" x14ac:dyDescent="0.25">
      <c r="A473" t="s">
        <v>32</v>
      </c>
      <c r="B473" s="1">
        <v>44986</v>
      </c>
      <c r="C473" s="2">
        <v>302</v>
      </c>
      <c r="D473" t="s">
        <v>13</v>
      </c>
      <c r="E473">
        <v>2023</v>
      </c>
    </row>
    <row r="474" spans="1:5" hidden="1" x14ac:dyDescent="0.25">
      <c r="A474" t="s">
        <v>32</v>
      </c>
      <c r="B474" s="1">
        <v>45047</v>
      </c>
      <c r="C474" s="2">
        <v>299.77269999999999</v>
      </c>
      <c r="D474" t="s">
        <v>9</v>
      </c>
      <c r="E474">
        <v>2023</v>
      </c>
    </row>
    <row r="475" spans="1:5" hidden="1" x14ac:dyDescent="0.25">
      <c r="A475" t="s">
        <v>32</v>
      </c>
      <c r="B475" s="1">
        <v>45017</v>
      </c>
      <c r="C475" s="2">
        <v>273.33330000000001</v>
      </c>
      <c r="D475" t="s">
        <v>11</v>
      </c>
      <c r="E475">
        <v>2023</v>
      </c>
    </row>
    <row r="476" spans="1:5" hidden="1" x14ac:dyDescent="0.25">
      <c r="A476" t="s">
        <v>32</v>
      </c>
      <c r="B476" s="1">
        <v>44958</v>
      </c>
      <c r="C476" s="2">
        <v>249</v>
      </c>
      <c r="D476" t="s">
        <v>16</v>
      </c>
      <c r="E476">
        <v>2023</v>
      </c>
    </row>
    <row r="477" spans="1:5" hidden="1" x14ac:dyDescent="0.25">
      <c r="A477" t="s">
        <v>32</v>
      </c>
      <c r="B477" s="1">
        <v>44927</v>
      </c>
      <c r="C477" s="2">
        <v>220</v>
      </c>
      <c r="D477" t="s">
        <v>5</v>
      </c>
      <c r="E477">
        <v>2023</v>
      </c>
    </row>
    <row r="478" spans="1:5" hidden="1" x14ac:dyDescent="0.25">
      <c r="A478" t="s">
        <v>46</v>
      </c>
      <c r="B478" s="1">
        <v>45748</v>
      </c>
      <c r="C478" s="2">
        <v>1588.4985999999999</v>
      </c>
      <c r="D478" t="s">
        <v>11</v>
      </c>
      <c r="E478">
        <v>2025</v>
      </c>
    </row>
    <row r="479" spans="1:5" hidden="1" x14ac:dyDescent="0.25">
      <c r="A479" t="s">
        <v>46</v>
      </c>
      <c r="B479" s="1">
        <v>45717</v>
      </c>
      <c r="C479" s="2">
        <v>1524.15</v>
      </c>
      <c r="D479" t="s">
        <v>13</v>
      </c>
      <c r="E479">
        <v>2025</v>
      </c>
    </row>
    <row r="480" spans="1:5" hidden="1" x14ac:dyDescent="0.25">
      <c r="A480" t="s">
        <v>46</v>
      </c>
      <c r="B480" s="1">
        <v>45689</v>
      </c>
      <c r="C480" s="2">
        <v>1500</v>
      </c>
      <c r="D480" t="s">
        <v>16</v>
      </c>
      <c r="E480">
        <v>2025</v>
      </c>
    </row>
    <row r="481" spans="1:5" hidden="1" x14ac:dyDescent="0.25">
      <c r="A481" t="s">
        <v>46</v>
      </c>
      <c r="B481" s="1">
        <v>45658</v>
      </c>
      <c r="C481" s="2">
        <v>1466.6667</v>
      </c>
      <c r="D481" t="s">
        <v>5</v>
      </c>
      <c r="E481">
        <v>2025</v>
      </c>
    </row>
    <row r="482" spans="1:5" x14ac:dyDescent="0.25">
      <c r="A482" t="s">
        <v>46</v>
      </c>
      <c r="B482" s="1">
        <v>45566</v>
      </c>
      <c r="C482" s="2">
        <v>1237.4783</v>
      </c>
      <c r="D482" t="s">
        <v>49</v>
      </c>
      <c r="E482">
        <v>2024</v>
      </c>
    </row>
    <row r="483" spans="1:5" x14ac:dyDescent="0.25">
      <c r="A483" t="s">
        <v>46</v>
      </c>
      <c r="B483" s="1">
        <v>45597</v>
      </c>
      <c r="C483" s="2">
        <v>1224.0761</v>
      </c>
      <c r="D483" t="s">
        <v>53</v>
      </c>
      <c r="E483">
        <v>2024</v>
      </c>
    </row>
    <row r="484" spans="1:5" x14ac:dyDescent="0.25">
      <c r="A484" t="s">
        <v>46</v>
      </c>
      <c r="B484" s="1">
        <v>45627</v>
      </c>
      <c r="C484" s="2">
        <v>1198.8891000000001</v>
      </c>
      <c r="D484" t="s">
        <v>52</v>
      </c>
      <c r="E484">
        <v>2024</v>
      </c>
    </row>
    <row r="485" spans="1:5" x14ac:dyDescent="0.25">
      <c r="A485" t="s">
        <v>46</v>
      </c>
      <c r="B485" s="1">
        <v>45536</v>
      </c>
      <c r="C485" s="2">
        <v>1002.6909000000001</v>
      </c>
      <c r="D485" t="s">
        <v>51</v>
      </c>
      <c r="E485">
        <v>2024</v>
      </c>
    </row>
    <row r="486" spans="1:5" x14ac:dyDescent="0.25">
      <c r="A486" t="s">
        <v>46</v>
      </c>
      <c r="B486" s="1">
        <v>45505</v>
      </c>
      <c r="C486" s="2">
        <v>891.92729999999995</v>
      </c>
      <c r="D486" t="s">
        <v>50</v>
      </c>
      <c r="E486">
        <v>2024</v>
      </c>
    </row>
    <row r="487" spans="1:5" x14ac:dyDescent="0.25">
      <c r="A487" t="s">
        <v>46</v>
      </c>
      <c r="B487" s="1">
        <v>45444</v>
      </c>
      <c r="C487" s="2">
        <v>796.15380000000005</v>
      </c>
      <c r="D487" t="s">
        <v>48</v>
      </c>
      <c r="E487">
        <v>2024</v>
      </c>
    </row>
    <row r="488" spans="1:5" x14ac:dyDescent="0.25">
      <c r="A488" t="s">
        <v>46</v>
      </c>
      <c r="B488" s="1">
        <v>45474</v>
      </c>
      <c r="C488" s="2">
        <v>793.40769999999998</v>
      </c>
      <c r="D488" t="s">
        <v>47</v>
      </c>
      <c r="E488">
        <v>2024</v>
      </c>
    </row>
    <row r="489" spans="1:5" x14ac:dyDescent="0.25">
      <c r="A489" t="s">
        <v>46</v>
      </c>
      <c r="B489" s="1">
        <v>45413</v>
      </c>
      <c r="C489" s="2">
        <v>759.09090000000003</v>
      </c>
      <c r="D489" t="s">
        <v>9</v>
      </c>
      <c r="E489">
        <v>2024</v>
      </c>
    </row>
    <row r="490" spans="1:5" x14ac:dyDescent="0.25">
      <c r="A490" t="s">
        <v>46</v>
      </c>
      <c r="B490" s="1">
        <v>45352</v>
      </c>
      <c r="C490" s="2">
        <v>725.55560000000003</v>
      </c>
      <c r="D490" t="s">
        <v>13</v>
      </c>
      <c r="E490">
        <v>2024</v>
      </c>
    </row>
    <row r="491" spans="1:5" x14ac:dyDescent="0.25">
      <c r="A491" t="s">
        <v>46</v>
      </c>
      <c r="B491" s="1">
        <v>45383</v>
      </c>
      <c r="C491" s="2">
        <v>712.77779999999996</v>
      </c>
      <c r="D491" t="s">
        <v>11</v>
      </c>
      <c r="E491">
        <v>2024</v>
      </c>
    </row>
    <row r="492" spans="1:5" x14ac:dyDescent="0.25">
      <c r="A492" t="s">
        <v>46</v>
      </c>
      <c r="B492" s="1">
        <v>45323</v>
      </c>
      <c r="C492" s="2">
        <v>705.51250000000005</v>
      </c>
      <c r="D492" t="s">
        <v>16</v>
      </c>
      <c r="E492">
        <v>2024</v>
      </c>
    </row>
    <row r="493" spans="1:5" x14ac:dyDescent="0.25">
      <c r="A493" t="s">
        <v>46</v>
      </c>
      <c r="B493" s="1">
        <v>45292</v>
      </c>
      <c r="C493" s="2">
        <v>687</v>
      </c>
      <c r="D493" t="s">
        <v>5</v>
      </c>
      <c r="E493">
        <v>2024</v>
      </c>
    </row>
    <row r="494" spans="1:5" hidden="1" x14ac:dyDescent="0.25">
      <c r="A494" t="s">
        <v>46</v>
      </c>
      <c r="B494" s="1">
        <v>45261</v>
      </c>
      <c r="C494" s="2">
        <v>683.68420000000003</v>
      </c>
      <c r="D494" t="s">
        <v>52</v>
      </c>
      <c r="E494">
        <v>2023</v>
      </c>
    </row>
    <row r="495" spans="1:5" hidden="1" x14ac:dyDescent="0.25">
      <c r="A495" t="s">
        <v>46</v>
      </c>
      <c r="B495" s="1">
        <v>45231</v>
      </c>
      <c r="C495" s="2">
        <v>633.17650000000003</v>
      </c>
      <c r="D495" t="s">
        <v>53</v>
      </c>
      <c r="E495">
        <v>2023</v>
      </c>
    </row>
    <row r="496" spans="1:5" hidden="1" x14ac:dyDescent="0.25">
      <c r="A496" t="s">
        <v>46</v>
      </c>
      <c r="B496" s="1">
        <v>45139</v>
      </c>
      <c r="C496" s="2">
        <v>623.38459999999998</v>
      </c>
      <c r="D496" t="s">
        <v>50</v>
      </c>
      <c r="E496">
        <v>2023</v>
      </c>
    </row>
    <row r="497" spans="1:5" hidden="1" x14ac:dyDescent="0.25">
      <c r="A497" t="s">
        <v>46</v>
      </c>
      <c r="B497" s="1">
        <v>45170</v>
      </c>
      <c r="C497" s="2">
        <v>621.25</v>
      </c>
      <c r="D497" t="s">
        <v>51</v>
      </c>
      <c r="E497">
        <v>2023</v>
      </c>
    </row>
    <row r="498" spans="1:5" hidden="1" x14ac:dyDescent="0.25">
      <c r="A498" t="s">
        <v>46</v>
      </c>
      <c r="B498" s="1">
        <v>45200</v>
      </c>
      <c r="C498" s="2">
        <v>618.57140000000004</v>
      </c>
      <c r="D498" t="s">
        <v>49</v>
      </c>
      <c r="E498">
        <v>2023</v>
      </c>
    </row>
    <row r="499" spans="1:5" hidden="1" x14ac:dyDescent="0.25">
      <c r="A499" t="s">
        <v>46</v>
      </c>
      <c r="B499" s="1">
        <v>45108</v>
      </c>
      <c r="C499" s="2">
        <v>615.73680000000002</v>
      </c>
      <c r="D499" t="s">
        <v>47</v>
      </c>
      <c r="E499">
        <v>2023</v>
      </c>
    </row>
    <row r="500" spans="1:5" hidden="1" x14ac:dyDescent="0.25">
      <c r="A500" t="s">
        <v>46</v>
      </c>
      <c r="B500" s="1">
        <v>45078</v>
      </c>
      <c r="C500" s="2">
        <v>546.42859999999996</v>
      </c>
      <c r="D500" t="s">
        <v>48</v>
      </c>
      <c r="E500">
        <v>2023</v>
      </c>
    </row>
    <row r="501" spans="1:5" hidden="1" x14ac:dyDescent="0.25">
      <c r="A501" t="s">
        <v>46</v>
      </c>
      <c r="B501" s="1">
        <v>44986</v>
      </c>
      <c r="C501" s="2">
        <v>332.66669999999999</v>
      </c>
      <c r="D501" t="s">
        <v>13</v>
      </c>
      <c r="E501">
        <v>2023</v>
      </c>
    </row>
    <row r="502" spans="1:5" hidden="1" x14ac:dyDescent="0.25">
      <c r="A502" t="s">
        <v>46</v>
      </c>
      <c r="B502" s="1">
        <v>44927</v>
      </c>
      <c r="C502" s="2">
        <v>332.1429</v>
      </c>
      <c r="D502" t="s">
        <v>5</v>
      </c>
      <c r="E502">
        <v>2023</v>
      </c>
    </row>
    <row r="503" spans="1:5" hidden="1" x14ac:dyDescent="0.25">
      <c r="A503" t="s">
        <v>46</v>
      </c>
      <c r="B503" s="1">
        <v>44958</v>
      </c>
      <c r="C503" s="2">
        <v>316.47059999999999</v>
      </c>
      <c r="D503" t="s">
        <v>16</v>
      </c>
      <c r="E503">
        <v>2023</v>
      </c>
    </row>
    <row r="504" spans="1:5" hidden="1" x14ac:dyDescent="0.25">
      <c r="A504" t="s">
        <v>46</v>
      </c>
      <c r="B504" s="1">
        <v>45047</v>
      </c>
      <c r="C504" s="2">
        <v>300</v>
      </c>
      <c r="D504" t="s">
        <v>9</v>
      </c>
      <c r="E504">
        <v>2023</v>
      </c>
    </row>
    <row r="505" spans="1:5" hidden="1" x14ac:dyDescent="0.25">
      <c r="A505" t="s">
        <v>46</v>
      </c>
      <c r="B505" s="1">
        <v>45017</v>
      </c>
      <c r="C505" s="2">
        <v>295.44</v>
      </c>
      <c r="D505" t="s">
        <v>11</v>
      </c>
      <c r="E505">
        <v>2023</v>
      </c>
    </row>
    <row r="506" spans="1:5" hidden="1" x14ac:dyDescent="0.25">
      <c r="A506" t="s">
        <v>43</v>
      </c>
      <c r="B506" s="1">
        <v>45689</v>
      </c>
      <c r="C506" s="2">
        <v>1730</v>
      </c>
      <c r="D506" t="s">
        <v>16</v>
      </c>
      <c r="E506">
        <v>2025</v>
      </c>
    </row>
    <row r="507" spans="1:5" hidden="1" x14ac:dyDescent="0.25">
      <c r="A507" t="s">
        <v>43</v>
      </c>
      <c r="B507" s="1">
        <v>45717</v>
      </c>
      <c r="C507" s="2">
        <v>1700</v>
      </c>
      <c r="D507" t="s">
        <v>13</v>
      </c>
      <c r="E507">
        <v>2025</v>
      </c>
    </row>
    <row r="508" spans="1:5" hidden="1" x14ac:dyDescent="0.25">
      <c r="A508" t="s">
        <v>43</v>
      </c>
      <c r="B508" s="1">
        <v>45748</v>
      </c>
      <c r="C508" s="2">
        <v>1567.8425999999999</v>
      </c>
      <c r="D508" t="s">
        <v>11</v>
      </c>
      <c r="E508">
        <v>2025</v>
      </c>
    </row>
    <row r="509" spans="1:5" hidden="1" x14ac:dyDescent="0.25">
      <c r="A509" t="s">
        <v>43</v>
      </c>
      <c r="B509" s="1">
        <v>45658</v>
      </c>
      <c r="C509" s="2">
        <v>1530</v>
      </c>
      <c r="D509" t="s">
        <v>5</v>
      </c>
      <c r="E509">
        <v>2025</v>
      </c>
    </row>
    <row r="510" spans="1:5" x14ac:dyDescent="0.25">
      <c r="A510" t="s">
        <v>43</v>
      </c>
      <c r="B510" s="1">
        <v>45597</v>
      </c>
      <c r="C510" s="2">
        <v>1308.5714</v>
      </c>
      <c r="D510" t="s">
        <v>53</v>
      </c>
      <c r="E510">
        <v>2024</v>
      </c>
    </row>
    <row r="511" spans="1:5" x14ac:dyDescent="0.25">
      <c r="A511" t="s">
        <v>43</v>
      </c>
      <c r="B511" s="1">
        <v>45566</v>
      </c>
      <c r="C511" s="2">
        <v>1288.1818000000001</v>
      </c>
      <c r="D511" t="s">
        <v>49</v>
      </c>
      <c r="E511">
        <v>2024</v>
      </c>
    </row>
    <row r="512" spans="1:5" x14ac:dyDescent="0.25">
      <c r="A512" t="s">
        <v>43</v>
      </c>
      <c r="B512" s="1">
        <v>45627</v>
      </c>
      <c r="C512" s="2">
        <v>1258.4614999999999</v>
      </c>
      <c r="D512" t="s">
        <v>52</v>
      </c>
      <c r="E512">
        <v>2024</v>
      </c>
    </row>
    <row r="513" spans="1:5" x14ac:dyDescent="0.25">
      <c r="A513" t="s">
        <v>43</v>
      </c>
      <c r="B513" s="1">
        <v>45536</v>
      </c>
      <c r="C513" s="2">
        <v>1063.3333</v>
      </c>
      <c r="D513" t="s">
        <v>51</v>
      </c>
      <c r="E513">
        <v>2024</v>
      </c>
    </row>
    <row r="514" spans="1:5" x14ac:dyDescent="0.25">
      <c r="A514" t="s">
        <v>43</v>
      </c>
      <c r="B514" s="1">
        <v>45413</v>
      </c>
      <c r="C514" s="2">
        <v>937.5</v>
      </c>
      <c r="D514" t="s">
        <v>9</v>
      </c>
      <c r="E514">
        <v>2024</v>
      </c>
    </row>
    <row r="515" spans="1:5" x14ac:dyDescent="0.25">
      <c r="A515" t="s">
        <v>43</v>
      </c>
      <c r="B515" s="1">
        <v>45474</v>
      </c>
      <c r="C515" s="2">
        <v>903.07690000000002</v>
      </c>
      <c r="D515" t="s">
        <v>47</v>
      </c>
      <c r="E515">
        <v>2024</v>
      </c>
    </row>
    <row r="516" spans="1:5" x14ac:dyDescent="0.25">
      <c r="A516" t="s">
        <v>43</v>
      </c>
      <c r="B516" s="1">
        <v>45505</v>
      </c>
      <c r="C516" s="2">
        <v>902.66669999999999</v>
      </c>
      <c r="D516" t="s">
        <v>50</v>
      </c>
      <c r="E516">
        <v>2024</v>
      </c>
    </row>
    <row r="517" spans="1:5" x14ac:dyDescent="0.25">
      <c r="A517" t="s">
        <v>43</v>
      </c>
      <c r="B517" s="1">
        <v>45444</v>
      </c>
      <c r="C517" s="2">
        <v>847</v>
      </c>
      <c r="D517" t="s">
        <v>48</v>
      </c>
      <c r="E517">
        <v>2024</v>
      </c>
    </row>
    <row r="518" spans="1:5" x14ac:dyDescent="0.25">
      <c r="A518" t="s">
        <v>43</v>
      </c>
      <c r="B518" s="1">
        <v>45383</v>
      </c>
      <c r="C518" s="2">
        <v>711.5385</v>
      </c>
      <c r="D518" t="s">
        <v>11</v>
      </c>
      <c r="E518">
        <v>2024</v>
      </c>
    </row>
    <row r="519" spans="1:5" x14ac:dyDescent="0.25">
      <c r="A519" t="s">
        <v>43</v>
      </c>
      <c r="B519" s="1">
        <v>45352</v>
      </c>
      <c r="C519" s="2">
        <v>708.33330000000001</v>
      </c>
      <c r="D519" t="s">
        <v>13</v>
      </c>
      <c r="E519">
        <v>2024</v>
      </c>
    </row>
    <row r="520" spans="1:5" x14ac:dyDescent="0.25">
      <c r="A520" t="s">
        <v>43</v>
      </c>
      <c r="B520" s="1">
        <v>45323</v>
      </c>
      <c r="C520" s="2">
        <v>696.42859999999996</v>
      </c>
      <c r="D520" t="s">
        <v>16</v>
      </c>
      <c r="E520">
        <v>2024</v>
      </c>
    </row>
    <row r="521" spans="1:5" hidden="1" x14ac:dyDescent="0.25">
      <c r="A521" t="s">
        <v>43</v>
      </c>
      <c r="B521" s="1">
        <v>45261</v>
      </c>
      <c r="C521" s="2">
        <v>682</v>
      </c>
      <c r="D521" t="s">
        <v>52</v>
      </c>
      <c r="E521">
        <v>2023</v>
      </c>
    </row>
    <row r="522" spans="1:5" x14ac:dyDescent="0.25">
      <c r="A522" t="s">
        <v>43</v>
      </c>
      <c r="B522" s="1">
        <v>45292</v>
      </c>
      <c r="C522" s="2">
        <v>679.66669999999999</v>
      </c>
      <c r="D522" t="s">
        <v>5</v>
      </c>
      <c r="E522">
        <v>2024</v>
      </c>
    </row>
    <row r="523" spans="1:5" hidden="1" x14ac:dyDescent="0.25">
      <c r="A523" t="s">
        <v>43</v>
      </c>
      <c r="B523" s="1">
        <v>45231</v>
      </c>
      <c r="C523" s="2">
        <v>677.66669999999999</v>
      </c>
      <c r="D523" t="s">
        <v>53</v>
      </c>
      <c r="E523">
        <v>2023</v>
      </c>
    </row>
    <row r="524" spans="1:5" hidden="1" x14ac:dyDescent="0.25">
      <c r="A524" t="s">
        <v>43</v>
      </c>
      <c r="B524" s="1">
        <v>45200</v>
      </c>
      <c r="C524" s="2">
        <v>627.5</v>
      </c>
      <c r="D524" t="s">
        <v>49</v>
      </c>
      <c r="E524">
        <v>2023</v>
      </c>
    </row>
    <row r="525" spans="1:5" hidden="1" x14ac:dyDescent="0.25">
      <c r="A525" t="s">
        <v>43</v>
      </c>
      <c r="B525" s="1">
        <v>45108</v>
      </c>
      <c r="C525" s="2">
        <v>625.79999999999995</v>
      </c>
      <c r="D525" t="s">
        <v>47</v>
      </c>
      <c r="E525">
        <v>2023</v>
      </c>
    </row>
    <row r="526" spans="1:5" hidden="1" x14ac:dyDescent="0.25">
      <c r="A526" t="s">
        <v>43</v>
      </c>
      <c r="B526" s="1">
        <v>45139</v>
      </c>
      <c r="C526" s="2">
        <v>619</v>
      </c>
      <c r="D526" t="s">
        <v>50</v>
      </c>
      <c r="E526">
        <v>2023</v>
      </c>
    </row>
    <row r="527" spans="1:5" hidden="1" x14ac:dyDescent="0.25">
      <c r="A527" t="s">
        <v>43</v>
      </c>
      <c r="B527" s="1">
        <v>45170</v>
      </c>
      <c r="C527" s="2">
        <v>617.41669999999999</v>
      </c>
      <c r="D527" t="s">
        <v>51</v>
      </c>
      <c r="E527">
        <v>2023</v>
      </c>
    </row>
    <row r="528" spans="1:5" hidden="1" x14ac:dyDescent="0.25">
      <c r="A528" t="s">
        <v>43</v>
      </c>
      <c r="B528" s="1">
        <v>45078</v>
      </c>
      <c r="C528" s="2">
        <v>556.66669999999999</v>
      </c>
      <c r="D528" t="s">
        <v>48</v>
      </c>
      <c r="E528">
        <v>2023</v>
      </c>
    </row>
    <row r="529" spans="1:5" hidden="1" x14ac:dyDescent="0.25">
      <c r="A529" t="s">
        <v>43</v>
      </c>
      <c r="B529" s="1">
        <v>44958</v>
      </c>
      <c r="C529" s="2">
        <v>329.16669999999999</v>
      </c>
      <c r="D529" t="s">
        <v>16</v>
      </c>
      <c r="E529">
        <v>2023</v>
      </c>
    </row>
    <row r="530" spans="1:5" hidden="1" x14ac:dyDescent="0.25">
      <c r="A530" t="s">
        <v>43</v>
      </c>
      <c r="B530" s="1">
        <v>44986</v>
      </c>
      <c r="C530" s="2">
        <v>316.66669999999999</v>
      </c>
      <c r="D530" t="s">
        <v>13</v>
      </c>
      <c r="E530">
        <v>2023</v>
      </c>
    </row>
    <row r="531" spans="1:5" hidden="1" x14ac:dyDescent="0.25">
      <c r="A531" t="s">
        <v>43</v>
      </c>
      <c r="B531" s="1">
        <v>45047</v>
      </c>
      <c r="C531" s="2">
        <v>297.5</v>
      </c>
      <c r="D531" t="s">
        <v>9</v>
      </c>
      <c r="E531">
        <v>2023</v>
      </c>
    </row>
    <row r="532" spans="1:5" hidden="1" x14ac:dyDescent="0.25">
      <c r="A532" t="s">
        <v>43</v>
      </c>
      <c r="B532" s="1">
        <v>44927</v>
      </c>
      <c r="C532" s="2">
        <v>281.42860000000002</v>
      </c>
      <c r="D532" t="s">
        <v>5</v>
      </c>
      <c r="E532">
        <v>2023</v>
      </c>
    </row>
    <row r="533" spans="1:5" hidden="1" x14ac:dyDescent="0.25">
      <c r="A533" t="s">
        <v>43</v>
      </c>
      <c r="B533" s="1">
        <v>45017</v>
      </c>
      <c r="C533" s="2">
        <v>247.2</v>
      </c>
      <c r="D533" t="s">
        <v>11</v>
      </c>
      <c r="E533">
        <v>2023</v>
      </c>
    </row>
    <row r="534" spans="1:5" hidden="1" x14ac:dyDescent="0.25">
      <c r="A534" t="s">
        <v>10</v>
      </c>
      <c r="B534" s="1">
        <v>45689</v>
      </c>
      <c r="C534" s="2">
        <v>1660</v>
      </c>
      <c r="D534" t="s">
        <v>16</v>
      </c>
      <c r="E534">
        <v>2025</v>
      </c>
    </row>
    <row r="535" spans="1:5" hidden="1" x14ac:dyDescent="0.25">
      <c r="A535" t="s">
        <v>10</v>
      </c>
      <c r="B535" s="1">
        <v>45717</v>
      </c>
      <c r="C535" s="2">
        <v>1650</v>
      </c>
      <c r="D535" t="s">
        <v>13</v>
      </c>
      <c r="E535">
        <v>2025</v>
      </c>
    </row>
    <row r="536" spans="1:5" hidden="1" x14ac:dyDescent="0.25">
      <c r="A536" t="s">
        <v>10</v>
      </c>
      <c r="B536" s="1">
        <v>45658</v>
      </c>
      <c r="C536" s="2">
        <v>1638.3333</v>
      </c>
      <c r="D536" t="s">
        <v>5</v>
      </c>
      <c r="E536">
        <v>2025</v>
      </c>
    </row>
    <row r="537" spans="1:5" hidden="1" x14ac:dyDescent="0.25">
      <c r="A537" t="s">
        <v>10</v>
      </c>
      <c r="B537" s="1">
        <v>45748</v>
      </c>
      <c r="C537" s="2">
        <v>1395.0444</v>
      </c>
      <c r="D537" t="s">
        <v>11</v>
      </c>
      <c r="E537">
        <v>2025</v>
      </c>
    </row>
    <row r="538" spans="1:5" x14ac:dyDescent="0.25">
      <c r="A538" t="s">
        <v>10</v>
      </c>
      <c r="B538" s="1">
        <v>45597</v>
      </c>
      <c r="C538" s="2">
        <v>1193.75</v>
      </c>
      <c r="D538" t="s">
        <v>53</v>
      </c>
      <c r="E538">
        <v>2024</v>
      </c>
    </row>
    <row r="539" spans="1:5" x14ac:dyDescent="0.25">
      <c r="A539" t="s">
        <v>10</v>
      </c>
      <c r="B539" s="1">
        <v>45566</v>
      </c>
      <c r="C539" s="2">
        <v>1163.7</v>
      </c>
      <c r="D539" t="s">
        <v>49</v>
      </c>
      <c r="E539">
        <v>2024</v>
      </c>
    </row>
    <row r="540" spans="1:5" x14ac:dyDescent="0.25">
      <c r="A540" t="s">
        <v>10</v>
      </c>
      <c r="B540" s="1">
        <v>45627</v>
      </c>
      <c r="C540" s="2">
        <v>1161.2</v>
      </c>
      <c r="D540" t="s">
        <v>52</v>
      </c>
      <c r="E540">
        <v>2024</v>
      </c>
    </row>
    <row r="541" spans="1:5" x14ac:dyDescent="0.25">
      <c r="A541" t="s">
        <v>10</v>
      </c>
      <c r="B541" s="1">
        <v>45536</v>
      </c>
      <c r="C541" s="2">
        <v>1074.6153999999999</v>
      </c>
      <c r="D541" t="s">
        <v>51</v>
      </c>
      <c r="E541">
        <v>2024</v>
      </c>
    </row>
    <row r="542" spans="1:5" x14ac:dyDescent="0.25">
      <c r="A542" t="s">
        <v>10</v>
      </c>
      <c r="B542" s="1">
        <v>45505</v>
      </c>
      <c r="C542" s="2">
        <v>887.05560000000003</v>
      </c>
      <c r="D542" t="s">
        <v>50</v>
      </c>
      <c r="E542">
        <v>2024</v>
      </c>
    </row>
    <row r="543" spans="1:5" x14ac:dyDescent="0.25">
      <c r="A543" t="s">
        <v>10</v>
      </c>
      <c r="B543" s="1">
        <v>45413</v>
      </c>
      <c r="C543" s="2">
        <v>815.9375</v>
      </c>
      <c r="D543" t="s">
        <v>9</v>
      </c>
      <c r="E543">
        <v>2024</v>
      </c>
    </row>
    <row r="544" spans="1:5" x14ac:dyDescent="0.25">
      <c r="A544" t="s">
        <v>10</v>
      </c>
      <c r="B544" s="1">
        <v>45474</v>
      </c>
      <c r="C544" s="2">
        <v>763</v>
      </c>
      <c r="D544" t="s">
        <v>47</v>
      </c>
      <c r="E544">
        <v>2024</v>
      </c>
    </row>
    <row r="545" spans="1:5" x14ac:dyDescent="0.25">
      <c r="A545" t="s">
        <v>10</v>
      </c>
      <c r="B545" s="1">
        <v>45444</v>
      </c>
      <c r="C545" s="2">
        <v>709.58330000000001</v>
      </c>
      <c r="D545" t="s">
        <v>48</v>
      </c>
      <c r="E545">
        <v>2024</v>
      </c>
    </row>
    <row r="546" spans="1:5" x14ac:dyDescent="0.25">
      <c r="A546" t="s">
        <v>10</v>
      </c>
      <c r="B546" s="1">
        <v>45383</v>
      </c>
      <c r="C546" s="2">
        <v>699.64290000000005</v>
      </c>
      <c r="D546" t="s">
        <v>11</v>
      </c>
      <c r="E546">
        <v>2024</v>
      </c>
    </row>
    <row r="547" spans="1:5" x14ac:dyDescent="0.25">
      <c r="A547" t="s">
        <v>10</v>
      </c>
      <c r="B547" s="1">
        <v>45352</v>
      </c>
      <c r="C547" s="2">
        <v>683.92859999999996</v>
      </c>
      <c r="D547" t="s">
        <v>13</v>
      </c>
      <c r="E547">
        <v>2024</v>
      </c>
    </row>
    <row r="548" spans="1:5" x14ac:dyDescent="0.25">
      <c r="A548" t="s">
        <v>10</v>
      </c>
      <c r="B548" s="1">
        <v>45323</v>
      </c>
      <c r="C548" s="2">
        <v>678.41669999999999</v>
      </c>
      <c r="D548" t="s">
        <v>16</v>
      </c>
      <c r="E548">
        <v>2024</v>
      </c>
    </row>
    <row r="549" spans="1:5" hidden="1" x14ac:dyDescent="0.25">
      <c r="A549" t="s">
        <v>10</v>
      </c>
      <c r="B549" s="1">
        <v>45261</v>
      </c>
      <c r="C549" s="2">
        <v>673.66669999999999</v>
      </c>
      <c r="D549" t="s">
        <v>52</v>
      </c>
      <c r="E549">
        <v>2023</v>
      </c>
    </row>
    <row r="550" spans="1:5" hidden="1" x14ac:dyDescent="0.25">
      <c r="A550" t="s">
        <v>10</v>
      </c>
      <c r="B550" s="1">
        <v>45200</v>
      </c>
      <c r="C550" s="2">
        <v>642.85709999999995</v>
      </c>
      <c r="D550" t="s">
        <v>49</v>
      </c>
      <c r="E550">
        <v>2023</v>
      </c>
    </row>
    <row r="551" spans="1:5" x14ac:dyDescent="0.25">
      <c r="A551" t="s">
        <v>10</v>
      </c>
      <c r="B551" s="1">
        <v>45292</v>
      </c>
      <c r="C551" s="2">
        <v>640</v>
      </c>
      <c r="D551" t="s">
        <v>5</v>
      </c>
      <c r="E551">
        <v>2024</v>
      </c>
    </row>
    <row r="552" spans="1:5" hidden="1" x14ac:dyDescent="0.25">
      <c r="A552" t="s">
        <v>10</v>
      </c>
      <c r="B552" s="1">
        <v>45108</v>
      </c>
      <c r="C552" s="2">
        <v>626.75</v>
      </c>
      <c r="D552" t="s">
        <v>47</v>
      </c>
      <c r="E552">
        <v>2023</v>
      </c>
    </row>
    <row r="553" spans="1:5" hidden="1" x14ac:dyDescent="0.25">
      <c r="A553" t="s">
        <v>10</v>
      </c>
      <c r="B553" s="1">
        <v>45139</v>
      </c>
      <c r="C553" s="2">
        <v>622.47059999999999</v>
      </c>
      <c r="D553" t="s">
        <v>50</v>
      </c>
      <c r="E553">
        <v>2023</v>
      </c>
    </row>
    <row r="554" spans="1:5" hidden="1" x14ac:dyDescent="0.25">
      <c r="A554" t="s">
        <v>10</v>
      </c>
      <c r="B554" s="1">
        <v>45170</v>
      </c>
      <c r="C554" s="2">
        <v>620.4</v>
      </c>
      <c r="D554" t="s">
        <v>51</v>
      </c>
      <c r="E554">
        <v>2023</v>
      </c>
    </row>
    <row r="555" spans="1:5" hidden="1" x14ac:dyDescent="0.25">
      <c r="A555" t="s">
        <v>10</v>
      </c>
      <c r="B555" s="1">
        <v>45231</v>
      </c>
      <c r="C555" s="2">
        <v>620.29409999999996</v>
      </c>
      <c r="D555" t="s">
        <v>53</v>
      </c>
      <c r="E555">
        <v>2023</v>
      </c>
    </row>
    <row r="556" spans="1:5" hidden="1" x14ac:dyDescent="0.25">
      <c r="A556" t="s">
        <v>10</v>
      </c>
      <c r="B556" s="1">
        <v>45078</v>
      </c>
      <c r="C556" s="2">
        <v>549.52940000000001</v>
      </c>
      <c r="D556" t="s">
        <v>48</v>
      </c>
      <c r="E556">
        <v>2023</v>
      </c>
    </row>
    <row r="557" spans="1:5" hidden="1" x14ac:dyDescent="0.25">
      <c r="A557" t="s">
        <v>10</v>
      </c>
      <c r="B557" s="1">
        <v>44958</v>
      </c>
      <c r="C557" s="2">
        <v>305.66669999999999</v>
      </c>
      <c r="D557" t="s">
        <v>16</v>
      </c>
      <c r="E557">
        <v>2023</v>
      </c>
    </row>
    <row r="558" spans="1:5" hidden="1" x14ac:dyDescent="0.25">
      <c r="A558" t="s">
        <v>10</v>
      </c>
      <c r="B558" s="1">
        <v>44986</v>
      </c>
      <c r="C558" s="2">
        <v>288.92860000000002</v>
      </c>
      <c r="D558" t="s">
        <v>13</v>
      </c>
      <c r="E558">
        <v>2023</v>
      </c>
    </row>
    <row r="559" spans="1:5" hidden="1" x14ac:dyDescent="0.25">
      <c r="A559" t="s">
        <v>10</v>
      </c>
      <c r="B559" s="1">
        <v>44927</v>
      </c>
      <c r="C559" s="2">
        <v>281.07139999999998</v>
      </c>
      <c r="D559" t="s">
        <v>5</v>
      </c>
      <c r="E559">
        <v>2023</v>
      </c>
    </row>
    <row r="560" spans="1:5" hidden="1" x14ac:dyDescent="0.25">
      <c r="A560" t="s">
        <v>10</v>
      </c>
      <c r="B560" s="1">
        <v>45047</v>
      </c>
      <c r="C560" s="2">
        <v>280</v>
      </c>
      <c r="D560" t="s">
        <v>9</v>
      </c>
      <c r="E560">
        <v>2023</v>
      </c>
    </row>
    <row r="561" spans="1:5" hidden="1" x14ac:dyDescent="0.25">
      <c r="A561" t="s">
        <v>10</v>
      </c>
      <c r="B561" s="1">
        <v>45017</v>
      </c>
      <c r="C561" s="2">
        <v>195</v>
      </c>
      <c r="D561" t="s">
        <v>11</v>
      </c>
      <c r="E561">
        <v>2023</v>
      </c>
    </row>
    <row r="562" spans="1:5" hidden="1" x14ac:dyDescent="0.25">
      <c r="A562" t="s">
        <v>36</v>
      </c>
      <c r="B562" s="1">
        <v>45689</v>
      </c>
      <c r="C562" s="2">
        <v>1587.5</v>
      </c>
      <c r="D562" t="s">
        <v>16</v>
      </c>
      <c r="E562">
        <v>2025</v>
      </c>
    </row>
    <row r="563" spans="1:5" hidden="1" x14ac:dyDescent="0.25">
      <c r="A563" t="s">
        <v>36</v>
      </c>
      <c r="B563" s="1">
        <v>45658</v>
      </c>
      <c r="C563" s="2">
        <v>1541.6667</v>
      </c>
      <c r="D563" t="s">
        <v>5</v>
      </c>
      <c r="E563">
        <v>2025</v>
      </c>
    </row>
    <row r="564" spans="1:5" hidden="1" x14ac:dyDescent="0.25">
      <c r="A564" t="s">
        <v>36</v>
      </c>
      <c r="B564" s="1">
        <v>45717</v>
      </c>
      <c r="C564" s="2">
        <v>1530.5587</v>
      </c>
      <c r="D564" t="s">
        <v>13</v>
      </c>
      <c r="E564">
        <v>2025</v>
      </c>
    </row>
    <row r="565" spans="1:5" hidden="1" x14ac:dyDescent="0.25">
      <c r="A565" t="s">
        <v>36</v>
      </c>
      <c r="B565" s="1">
        <v>45748</v>
      </c>
      <c r="C565" s="2">
        <v>1283.6949999999999</v>
      </c>
      <c r="D565" t="s">
        <v>11</v>
      </c>
      <c r="E565">
        <v>2025</v>
      </c>
    </row>
    <row r="566" spans="1:5" x14ac:dyDescent="0.25">
      <c r="A566" t="s">
        <v>36</v>
      </c>
      <c r="B566" s="1">
        <v>45566</v>
      </c>
      <c r="C566" s="2">
        <v>1170.8333</v>
      </c>
      <c r="D566" t="s">
        <v>49</v>
      </c>
      <c r="E566">
        <v>2024</v>
      </c>
    </row>
    <row r="567" spans="1:5" x14ac:dyDescent="0.25">
      <c r="A567" t="s">
        <v>36</v>
      </c>
      <c r="B567" s="1">
        <v>45597</v>
      </c>
      <c r="C567" s="2">
        <v>1152.8570999999999</v>
      </c>
      <c r="D567" t="s">
        <v>53</v>
      </c>
      <c r="E567">
        <v>2024</v>
      </c>
    </row>
    <row r="568" spans="1:5" x14ac:dyDescent="0.25">
      <c r="A568" t="s">
        <v>36</v>
      </c>
      <c r="B568" s="1">
        <v>45627</v>
      </c>
      <c r="C568" s="2">
        <v>1152.1429000000001</v>
      </c>
      <c r="D568" t="s">
        <v>52</v>
      </c>
      <c r="E568">
        <v>2024</v>
      </c>
    </row>
    <row r="569" spans="1:5" x14ac:dyDescent="0.25">
      <c r="A569" t="s">
        <v>36</v>
      </c>
      <c r="B569" s="1">
        <v>45536</v>
      </c>
      <c r="C569" s="2">
        <v>1051.2</v>
      </c>
      <c r="D569" t="s">
        <v>51</v>
      </c>
      <c r="E569">
        <v>2024</v>
      </c>
    </row>
    <row r="570" spans="1:5" x14ac:dyDescent="0.25">
      <c r="A570" t="s">
        <v>36</v>
      </c>
      <c r="B570" s="1">
        <v>45505</v>
      </c>
      <c r="C570" s="2">
        <v>881.42859999999996</v>
      </c>
      <c r="D570" t="s">
        <v>50</v>
      </c>
      <c r="E570">
        <v>2024</v>
      </c>
    </row>
    <row r="571" spans="1:5" x14ac:dyDescent="0.25">
      <c r="A571" t="s">
        <v>36</v>
      </c>
      <c r="B571" s="1">
        <v>45413</v>
      </c>
      <c r="C571" s="2">
        <v>792.85709999999995</v>
      </c>
      <c r="D571" t="s">
        <v>9</v>
      </c>
      <c r="E571">
        <v>2024</v>
      </c>
    </row>
    <row r="572" spans="1:5" x14ac:dyDescent="0.25">
      <c r="A572" t="s">
        <v>36</v>
      </c>
      <c r="B572" s="1">
        <v>45474</v>
      </c>
      <c r="C572" s="2">
        <v>755.35709999999995</v>
      </c>
      <c r="D572" t="s">
        <v>47</v>
      </c>
      <c r="E572">
        <v>2024</v>
      </c>
    </row>
    <row r="573" spans="1:5" x14ac:dyDescent="0.25">
      <c r="A573" t="s">
        <v>36</v>
      </c>
      <c r="B573" s="1">
        <v>45444</v>
      </c>
      <c r="C573" s="2">
        <v>715.45450000000005</v>
      </c>
      <c r="D573" t="s">
        <v>48</v>
      </c>
      <c r="E573">
        <v>2024</v>
      </c>
    </row>
    <row r="574" spans="1:5" x14ac:dyDescent="0.25">
      <c r="A574" t="s">
        <v>36</v>
      </c>
      <c r="B574" s="1">
        <v>45383</v>
      </c>
      <c r="C574" s="2">
        <v>700</v>
      </c>
      <c r="D574" t="s">
        <v>11</v>
      </c>
      <c r="E574">
        <v>2024</v>
      </c>
    </row>
    <row r="575" spans="1:5" x14ac:dyDescent="0.25">
      <c r="A575" t="s">
        <v>36</v>
      </c>
      <c r="B575" s="1">
        <v>45352</v>
      </c>
      <c r="C575" s="2">
        <v>685.71429999999998</v>
      </c>
      <c r="D575" t="s">
        <v>13</v>
      </c>
      <c r="E575">
        <v>2024</v>
      </c>
    </row>
    <row r="576" spans="1:5" x14ac:dyDescent="0.25">
      <c r="A576" t="s">
        <v>36</v>
      </c>
      <c r="B576" s="1">
        <v>45292</v>
      </c>
      <c r="C576" s="2">
        <v>678.26670000000001</v>
      </c>
      <c r="D576" t="s">
        <v>5</v>
      </c>
      <c r="E576">
        <v>2024</v>
      </c>
    </row>
    <row r="577" spans="1:5" x14ac:dyDescent="0.25">
      <c r="A577" t="s">
        <v>36</v>
      </c>
      <c r="B577" s="1">
        <v>45323</v>
      </c>
      <c r="C577" s="2">
        <v>675</v>
      </c>
      <c r="D577" t="s">
        <v>16</v>
      </c>
      <c r="E577">
        <v>2024</v>
      </c>
    </row>
    <row r="578" spans="1:5" hidden="1" x14ac:dyDescent="0.25">
      <c r="A578" t="s">
        <v>36</v>
      </c>
      <c r="B578" s="1">
        <v>45231</v>
      </c>
      <c r="C578" s="2">
        <v>668.63639999999998</v>
      </c>
      <c r="D578" t="s">
        <v>53</v>
      </c>
      <c r="E578">
        <v>2023</v>
      </c>
    </row>
    <row r="579" spans="1:5" hidden="1" x14ac:dyDescent="0.25">
      <c r="A579" t="s">
        <v>36</v>
      </c>
      <c r="B579" s="1">
        <v>45200</v>
      </c>
      <c r="C579" s="2">
        <v>642.72730000000001</v>
      </c>
      <c r="D579" t="s">
        <v>49</v>
      </c>
      <c r="E579">
        <v>2023</v>
      </c>
    </row>
    <row r="580" spans="1:5" hidden="1" x14ac:dyDescent="0.25">
      <c r="A580" t="s">
        <v>36</v>
      </c>
      <c r="B580" s="1">
        <v>45139</v>
      </c>
      <c r="C580" s="2">
        <v>627</v>
      </c>
      <c r="D580" t="s">
        <v>50</v>
      </c>
      <c r="E580">
        <v>2023</v>
      </c>
    </row>
    <row r="581" spans="1:5" hidden="1" x14ac:dyDescent="0.25">
      <c r="A581" t="s">
        <v>36</v>
      </c>
      <c r="B581" s="1">
        <v>45170</v>
      </c>
      <c r="C581" s="2">
        <v>625</v>
      </c>
      <c r="D581" t="s">
        <v>51</v>
      </c>
      <c r="E581">
        <v>2023</v>
      </c>
    </row>
    <row r="582" spans="1:5" hidden="1" x14ac:dyDescent="0.25">
      <c r="A582" t="s">
        <v>36</v>
      </c>
      <c r="B582" s="1">
        <v>45108</v>
      </c>
      <c r="C582" s="2">
        <v>621.54549999999995</v>
      </c>
      <c r="D582" t="s">
        <v>47</v>
      </c>
      <c r="E582">
        <v>2023</v>
      </c>
    </row>
    <row r="583" spans="1:5" hidden="1" x14ac:dyDescent="0.25">
      <c r="A583" t="s">
        <v>36</v>
      </c>
      <c r="B583" s="1">
        <v>45261</v>
      </c>
      <c r="C583" s="2">
        <v>602.77779999999996</v>
      </c>
      <c r="D583" t="s">
        <v>52</v>
      </c>
      <c r="E583">
        <v>2023</v>
      </c>
    </row>
    <row r="584" spans="1:5" hidden="1" x14ac:dyDescent="0.25">
      <c r="A584" t="s">
        <v>36</v>
      </c>
      <c r="B584" s="1">
        <v>45078</v>
      </c>
      <c r="C584" s="2">
        <v>561.81820000000005</v>
      </c>
      <c r="D584" t="s">
        <v>48</v>
      </c>
      <c r="E584">
        <v>2023</v>
      </c>
    </row>
    <row r="585" spans="1:5" hidden="1" x14ac:dyDescent="0.25">
      <c r="A585" t="s">
        <v>36</v>
      </c>
      <c r="B585" s="1">
        <v>44986</v>
      </c>
      <c r="C585" s="2">
        <v>290.41669999999999</v>
      </c>
      <c r="D585" t="s">
        <v>13</v>
      </c>
      <c r="E585">
        <v>2023</v>
      </c>
    </row>
    <row r="586" spans="1:5" hidden="1" x14ac:dyDescent="0.25">
      <c r="A586" t="s">
        <v>36</v>
      </c>
      <c r="B586" s="1">
        <v>44927</v>
      </c>
      <c r="C586" s="2">
        <v>286.36360000000002</v>
      </c>
      <c r="D586" t="s">
        <v>5</v>
      </c>
      <c r="E586">
        <v>2023</v>
      </c>
    </row>
    <row r="587" spans="1:5" hidden="1" x14ac:dyDescent="0.25">
      <c r="A587" t="s">
        <v>36</v>
      </c>
      <c r="B587" s="1">
        <v>44958</v>
      </c>
      <c r="C587" s="2">
        <v>275.5</v>
      </c>
      <c r="D587" t="s">
        <v>16</v>
      </c>
      <c r="E587">
        <v>2023</v>
      </c>
    </row>
    <row r="588" spans="1:5" hidden="1" x14ac:dyDescent="0.25">
      <c r="A588" t="s">
        <v>36</v>
      </c>
      <c r="B588" s="1">
        <v>45017</v>
      </c>
      <c r="C588" s="2">
        <v>267.72730000000001</v>
      </c>
      <c r="D588" t="s">
        <v>11</v>
      </c>
      <c r="E588">
        <v>2023</v>
      </c>
    </row>
    <row r="589" spans="1:5" hidden="1" x14ac:dyDescent="0.25">
      <c r="A589" t="s">
        <v>36</v>
      </c>
      <c r="B589" s="1">
        <v>45047</v>
      </c>
      <c r="C589" s="2">
        <v>229.3158</v>
      </c>
      <c r="D589" t="s">
        <v>9</v>
      </c>
      <c r="E589">
        <v>2023</v>
      </c>
    </row>
    <row r="590" spans="1:5" hidden="1" x14ac:dyDescent="0.25">
      <c r="A590" t="s">
        <v>42</v>
      </c>
      <c r="B590" s="1">
        <v>45717</v>
      </c>
      <c r="C590" s="2">
        <v>1474.4213999999999</v>
      </c>
      <c r="D590" t="s">
        <v>13</v>
      </c>
      <c r="E590">
        <v>2025</v>
      </c>
    </row>
    <row r="591" spans="1:5" hidden="1" x14ac:dyDescent="0.25">
      <c r="A591" t="s">
        <v>42</v>
      </c>
      <c r="B591" s="1">
        <v>45658</v>
      </c>
      <c r="C591" s="2">
        <v>1469.4444000000001</v>
      </c>
      <c r="D591" t="s">
        <v>5</v>
      </c>
      <c r="E591">
        <v>2025</v>
      </c>
    </row>
    <row r="592" spans="1:5" hidden="1" x14ac:dyDescent="0.25">
      <c r="A592" t="s">
        <v>42</v>
      </c>
      <c r="B592" s="1">
        <v>45689</v>
      </c>
      <c r="C592" s="2">
        <v>1436.1111000000001</v>
      </c>
      <c r="D592" t="s">
        <v>16</v>
      </c>
      <c r="E592">
        <v>2025</v>
      </c>
    </row>
    <row r="593" spans="1:5" x14ac:dyDescent="0.25">
      <c r="A593" t="s">
        <v>42</v>
      </c>
      <c r="B593" s="1">
        <v>45627</v>
      </c>
      <c r="C593" s="2">
        <v>1187.5</v>
      </c>
      <c r="D593" t="s">
        <v>52</v>
      </c>
      <c r="E593">
        <v>2024</v>
      </c>
    </row>
    <row r="594" spans="1:5" x14ac:dyDescent="0.25">
      <c r="A594" t="s">
        <v>42</v>
      </c>
      <c r="B594" s="1">
        <v>45597</v>
      </c>
      <c r="C594" s="2">
        <v>1121.25</v>
      </c>
      <c r="D594" t="s">
        <v>53</v>
      </c>
      <c r="E594">
        <v>2024</v>
      </c>
    </row>
    <row r="595" spans="1:5" hidden="1" x14ac:dyDescent="0.25">
      <c r="A595" t="s">
        <v>42</v>
      </c>
      <c r="B595" s="1">
        <v>45748</v>
      </c>
      <c r="C595" s="2">
        <v>1111.9375</v>
      </c>
      <c r="D595" t="s">
        <v>11</v>
      </c>
      <c r="E595">
        <v>2025</v>
      </c>
    </row>
    <row r="596" spans="1:5" x14ac:dyDescent="0.25">
      <c r="A596" t="s">
        <v>42</v>
      </c>
      <c r="B596" s="1">
        <v>45566</v>
      </c>
      <c r="C596" s="2">
        <v>1100</v>
      </c>
      <c r="D596" t="s">
        <v>49</v>
      </c>
      <c r="E596">
        <v>2024</v>
      </c>
    </row>
    <row r="597" spans="1:5" x14ac:dyDescent="0.25">
      <c r="A597" t="s">
        <v>42</v>
      </c>
      <c r="B597" s="1">
        <v>45536</v>
      </c>
      <c r="C597" s="2">
        <v>1096.1538</v>
      </c>
      <c r="D597" t="s">
        <v>51</v>
      </c>
      <c r="E597">
        <v>2024</v>
      </c>
    </row>
    <row r="598" spans="1:5" x14ac:dyDescent="0.25">
      <c r="A598" t="s">
        <v>42</v>
      </c>
      <c r="B598" s="1">
        <v>45474</v>
      </c>
      <c r="C598" s="2">
        <v>950</v>
      </c>
      <c r="D598" t="s">
        <v>47</v>
      </c>
      <c r="E598">
        <v>2024</v>
      </c>
    </row>
    <row r="599" spans="1:5" x14ac:dyDescent="0.25">
      <c r="A599" t="s">
        <v>42</v>
      </c>
      <c r="B599" s="1">
        <v>45413</v>
      </c>
      <c r="C599" s="2">
        <v>782.22220000000004</v>
      </c>
      <c r="D599" t="s">
        <v>9</v>
      </c>
      <c r="E599">
        <v>2024</v>
      </c>
    </row>
    <row r="600" spans="1:5" x14ac:dyDescent="0.25">
      <c r="A600" t="s">
        <v>42</v>
      </c>
      <c r="B600" s="1">
        <v>45505</v>
      </c>
      <c r="C600" s="2">
        <v>781.25</v>
      </c>
      <c r="D600" t="s">
        <v>50</v>
      </c>
      <c r="E600">
        <v>2024</v>
      </c>
    </row>
    <row r="601" spans="1:5" x14ac:dyDescent="0.25">
      <c r="A601" t="s">
        <v>42</v>
      </c>
      <c r="B601" s="1">
        <v>45444</v>
      </c>
      <c r="C601" s="2">
        <v>742.5</v>
      </c>
      <c r="D601" t="s">
        <v>48</v>
      </c>
      <c r="E601">
        <v>2024</v>
      </c>
    </row>
    <row r="602" spans="1:5" x14ac:dyDescent="0.25">
      <c r="A602" t="s">
        <v>42</v>
      </c>
      <c r="B602" s="1">
        <v>45383</v>
      </c>
      <c r="C602" s="2">
        <v>697.72730000000001</v>
      </c>
      <c r="D602" t="s">
        <v>11</v>
      </c>
      <c r="E602">
        <v>2024</v>
      </c>
    </row>
    <row r="603" spans="1:5" x14ac:dyDescent="0.25">
      <c r="A603" t="s">
        <v>42</v>
      </c>
      <c r="B603" s="1">
        <v>45352</v>
      </c>
      <c r="C603" s="2">
        <v>694.16669999999999</v>
      </c>
      <c r="D603" t="s">
        <v>13</v>
      </c>
      <c r="E603">
        <v>2024</v>
      </c>
    </row>
    <row r="604" spans="1:5" x14ac:dyDescent="0.25">
      <c r="A604" t="s">
        <v>42</v>
      </c>
      <c r="B604" s="1">
        <v>45292</v>
      </c>
      <c r="C604" s="2">
        <v>680.4</v>
      </c>
      <c r="D604" t="s">
        <v>5</v>
      </c>
      <c r="E604">
        <v>2024</v>
      </c>
    </row>
    <row r="605" spans="1:5" x14ac:dyDescent="0.25">
      <c r="A605" t="s">
        <v>42</v>
      </c>
      <c r="B605" s="1">
        <v>45323</v>
      </c>
      <c r="C605" s="2">
        <v>680</v>
      </c>
      <c r="D605" t="s">
        <v>16</v>
      </c>
      <c r="E605">
        <v>2024</v>
      </c>
    </row>
    <row r="606" spans="1:5" hidden="1" x14ac:dyDescent="0.25">
      <c r="A606" t="s">
        <v>42</v>
      </c>
      <c r="B606" s="1">
        <v>45231</v>
      </c>
      <c r="C606" s="2">
        <v>667.14290000000005</v>
      </c>
      <c r="D606" t="s">
        <v>53</v>
      </c>
      <c r="E606">
        <v>2023</v>
      </c>
    </row>
    <row r="607" spans="1:5" hidden="1" x14ac:dyDescent="0.25">
      <c r="A607" t="s">
        <v>42</v>
      </c>
      <c r="B607" s="1">
        <v>45261</v>
      </c>
      <c r="C607" s="2">
        <v>665</v>
      </c>
      <c r="D607" t="s">
        <v>52</v>
      </c>
      <c r="E607">
        <v>2023</v>
      </c>
    </row>
    <row r="608" spans="1:5" hidden="1" x14ac:dyDescent="0.25">
      <c r="A608" t="s">
        <v>42</v>
      </c>
      <c r="B608" s="1">
        <v>45200</v>
      </c>
      <c r="C608" s="2">
        <v>639.81820000000005</v>
      </c>
      <c r="D608" t="s">
        <v>49</v>
      </c>
      <c r="E608">
        <v>2023</v>
      </c>
    </row>
    <row r="609" spans="1:5" hidden="1" x14ac:dyDescent="0.25">
      <c r="A609" t="s">
        <v>42</v>
      </c>
      <c r="B609" s="1">
        <v>45170</v>
      </c>
      <c r="C609" s="2">
        <v>626.75</v>
      </c>
      <c r="D609" t="s">
        <v>51</v>
      </c>
      <c r="E609">
        <v>2023</v>
      </c>
    </row>
    <row r="610" spans="1:5" hidden="1" x14ac:dyDescent="0.25">
      <c r="A610" t="s">
        <v>42</v>
      </c>
      <c r="B610" s="1">
        <v>45139</v>
      </c>
      <c r="C610" s="2">
        <v>619.1</v>
      </c>
      <c r="D610" t="s">
        <v>50</v>
      </c>
      <c r="E610">
        <v>2023</v>
      </c>
    </row>
    <row r="611" spans="1:5" hidden="1" x14ac:dyDescent="0.25">
      <c r="A611" t="s">
        <v>42</v>
      </c>
      <c r="B611" s="1">
        <v>45108</v>
      </c>
      <c r="C611" s="2">
        <v>604.54549999999995</v>
      </c>
      <c r="D611" t="s">
        <v>47</v>
      </c>
      <c r="E611">
        <v>2023</v>
      </c>
    </row>
    <row r="612" spans="1:5" hidden="1" x14ac:dyDescent="0.25">
      <c r="A612" t="s">
        <v>42</v>
      </c>
      <c r="B612" s="1">
        <v>45078</v>
      </c>
      <c r="C612" s="2">
        <v>546.66669999999999</v>
      </c>
      <c r="D612" t="s">
        <v>48</v>
      </c>
      <c r="E612">
        <v>2023</v>
      </c>
    </row>
    <row r="613" spans="1:5" hidden="1" x14ac:dyDescent="0.25">
      <c r="A613" t="s">
        <v>42</v>
      </c>
      <c r="B613" s="1">
        <v>44986</v>
      </c>
      <c r="C613" s="2">
        <v>306.25</v>
      </c>
      <c r="D613" t="s">
        <v>13</v>
      </c>
      <c r="E613">
        <v>2023</v>
      </c>
    </row>
    <row r="614" spans="1:5" hidden="1" x14ac:dyDescent="0.25">
      <c r="A614" t="s">
        <v>42</v>
      </c>
      <c r="B614" s="1">
        <v>45017</v>
      </c>
      <c r="C614" s="2">
        <v>284.28570000000002</v>
      </c>
      <c r="D614" t="s">
        <v>11</v>
      </c>
      <c r="E614">
        <v>2023</v>
      </c>
    </row>
    <row r="615" spans="1:5" hidden="1" x14ac:dyDescent="0.25">
      <c r="A615" t="s">
        <v>42</v>
      </c>
      <c r="B615" s="1">
        <v>44958</v>
      </c>
      <c r="C615" s="2">
        <v>280.375</v>
      </c>
      <c r="D615" t="s">
        <v>16</v>
      </c>
      <c r="E615">
        <v>2023</v>
      </c>
    </row>
    <row r="616" spans="1:5" hidden="1" x14ac:dyDescent="0.25">
      <c r="A616" t="s">
        <v>42</v>
      </c>
      <c r="B616" s="1">
        <v>45047</v>
      </c>
      <c r="C616" s="2">
        <v>254.28569999999999</v>
      </c>
      <c r="D616" t="s">
        <v>9</v>
      </c>
      <c r="E616">
        <v>2023</v>
      </c>
    </row>
    <row r="617" spans="1:5" hidden="1" x14ac:dyDescent="0.25">
      <c r="A617" t="s">
        <v>42</v>
      </c>
      <c r="B617" s="1">
        <v>44927</v>
      </c>
      <c r="C617" s="2">
        <v>246.11109999999999</v>
      </c>
      <c r="D617" t="s">
        <v>5</v>
      </c>
      <c r="E617">
        <v>2023</v>
      </c>
    </row>
    <row r="618" spans="1:5" x14ac:dyDescent="0.25">
      <c r="A618" t="s">
        <v>44</v>
      </c>
      <c r="B618" s="1">
        <v>45627</v>
      </c>
      <c r="C618" s="2">
        <v>1194</v>
      </c>
      <c r="D618" t="s">
        <v>52</v>
      </c>
      <c r="E618">
        <v>2024</v>
      </c>
    </row>
    <row r="619" spans="1:5" x14ac:dyDescent="0.25">
      <c r="A619" t="s">
        <v>44</v>
      </c>
      <c r="B619" s="1">
        <v>45566</v>
      </c>
      <c r="C619" s="2">
        <v>1189.25</v>
      </c>
      <c r="D619" t="s">
        <v>49</v>
      </c>
      <c r="E619">
        <v>2024</v>
      </c>
    </row>
    <row r="620" spans="1:5" x14ac:dyDescent="0.25">
      <c r="A620" t="s">
        <v>44</v>
      </c>
      <c r="B620" s="1">
        <v>45597</v>
      </c>
      <c r="C620" s="2">
        <v>1186.25</v>
      </c>
      <c r="D620" t="s">
        <v>53</v>
      </c>
      <c r="E620">
        <v>2024</v>
      </c>
    </row>
    <row r="621" spans="1:5" hidden="1" x14ac:dyDescent="0.25">
      <c r="A621" t="s">
        <v>44</v>
      </c>
      <c r="B621" s="1">
        <v>45748</v>
      </c>
      <c r="C621" s="2">
        <v>1148.9099000000001</v>
      </c>
      <c r="D621" t="s">
        <v>11</v>
      </c>
      <c r="E621">
        <v>2025</v>
      </c>
    </row>
    <row r="622" spans="1:5" hidden="1" x14ac:dyDescent="0.25">
      <c r="A622" t="s">
        <v>44</v>
      </c>
      <c r="B622" s="1">
        <v>45717</v>
      </c>
      <c r="C622" s="2">
        <v>1125.549</v>
      </c>
      <c r="D622" t="s">
        <v>13</v>
      </c>
      <c r="E622">
        <v>2025</v>
      </c>
    </row>
    <row r="623" spans="1:5" hidden="1" x14ac:dyDescent="0.25">
      <c r="A623" t="s">
        <v>44</v>
      </c>
      <c r="B623" s="1">
        <v>45689</v>
      </c>
      <c r="C623" s="2">
        <v>1090</v>
      </c>
      <c r="D623" t="s">
        <v>16</v>
      </c>
      <c r="E623">
        <v>2025</v>
      </c>
    </row>
    <row r="624" spans="1:5" hidden="1" x14ac:dyDescent="0.25">
      <c r="A624" t="s">
        <v>44</v>
      </c>
      <c r="B624" s="1">
        <v>45658</v>
      </c>
      <c r="C624" s="2">
        <v>1090</v>
      </c>
      <c r="D624" t="s">
        <v>5</v>
      </c>
      <c r="E624">
        <v>2025</v>
      </c>
    </row>
    <row r="625" spans="1:5" x14ac:dyDescent="0.25">
      <c r="A625" t="s">
        <v>44</v>
      </c>
      <c r="B625" s="1">
        <v>45536</v>
      </c>
      <c r="C625" s="2">
        <v>986.66669999999999</v>
      </c>
      <c r="D625" t="s">
        <v>51</v>
      </c>
      <c r="E625">
        <v>2024</v>
      </c>
    </row>
    <row r="626" spans="1:5" x14ac:dyDescent="0.25">
      <c r="A626" t="s">
        <v>44</v>
      </c>
      <c r="B626" s="1">
        <v>45413</v>
      </c>
      <c r="C626" s="2">
        <v>880</v>
      </c>
      <c r="D626" t="s">
        <v>9</v>
      </c>
      <c r="E626">
        <v>2024</v>
      </c>
    </row>
    <row r="627" spans="1:5" x14ac:dyDescent="0.25">
      <c r="A627" t="s">
        <v>44</v>
      </c>
      <c r="B627" s="1">
        <v>45474</v>
      </c>
      <c r="C627" s="2">
        <v>822.14290000000005</v>
      </c>
      <c r="D627" t="s">
        <v>47</v>
      </c>
      <c r="E627">
        <v>2024</v>
      </c>
    </row>
    <row r="628" spans="1:5" x14ac:dyDescent="0.25">
      <c r="A628" t="s">
        <v>44</v>
      </c>
      <c r="B628" s="1">
        <v>45505</v>
      </c>
      <c r="C628" s="2">
        <v>808.66669999999999</v>
      </c>
      <c r="D628" t="s">
        <v>50</v>
      </c>
      <c r="E628">
        <v>2024</v>
      </c>
    </row>
    <row r="629" spans="1:5" x14ac:dyDescent="0.25">
      <c r="A629" t="s">
        <v>44</v>
      </c>
      <c r="B629" s="1">
        <v>45292</v>
      </c>
      <c r="C629" s="2">
        <v>796.66669999999999</v>
      </c>
      <c r="D629" t="s">
        <v>5</v>
      </c>
      <c r="E629">
        <v>2024</v>
      </c>
    </row>
    <row r="630" spans="1:5" x14ac:dyDescent="0.25">
      <c r="A630" t="s">
        <v>44</v>
      </c>
      <c r="B630" s="1">
        <v>45323</v>
      </c>
      <c r="C630" s="2">
        <v>746.66669999999999</v>
      </c>
      <c r="D630" t="s">
        <v>16</v>
      </c>
      <c r="E630">
        <v>2024</v>
      </c>
    </row>
    <row r="631" spans="1:5" x14ac:dyDescent="0.25">
      <c r="A631" t="s">
        <v>44</v>
      </c>
      <c r="B631" s="1">
        <v>45444</v>
      </c>
      <c r="C631" s="2">
        <v>742.30769999999995</v>
      </c>
      <c r="D631" t="s">
        <v>48</v>
      </c>
      <c r="E631">
        <v>2024</v>
      </c>
    </row>
    <row r="632" spans="1:5" x14ac:dyDescent="0.25">
      <c r="A632" t="s">
        <v>44</v>
      </c>
      <c r="B632" s="1">
        <v>45352</v>
      </c>
      <c r="C632" s="2">
        <v>727.2</v>
      </c>
      <c r="D632" t="s">
        <v>13</v>
      </c>
      <c r="E632">
        <v>2024</v>
      </c>
    </row>
    <row r="633" spans="1:5" x14ac:dyDescent="0.25">
      <c r="A633" t="s">
        <v>44</v>
      </c>
      <c r="B633" s="1">
        <v>45383</v>
      </c>
      <c r="C633" s="2">
        <v>722.85709999999995</v>
      </c>
      <c r="D633" t="s">
        <v>11</v>
      </c>
      <c r="E633">
        <v>2024</v>
      </c>
    </row>
    <row r="634" spans="1:5" hidden="1" x14ac:dyDescent="0.25">
      <c r="A634" t="s">
        <v>44</v>
      </c>
      <c r="B634" s="1">
        <v>45261</v>
      </c>
      <c r="C634" s="2">
        <v>715.625</v>
      </c>
      <c r="D634" t="s">
        <v>52</v>
      </c>
      <c r="E634">
        <v>2023</v>
      </c>
    </row>
    <row r="635" spans="1:5" hidden="1" x14ac:dyDescent="0.25">
      <c r="A635" t="s">
        <v>44</v>
      </c>
      <c r="B635" s="1">
        <v>45231</v>
      </c>
      <c r="C635" s="2">
        <v>691</v>
      </c>
      <c r="D635" t="s">
        <v>53</v>
      </c>
      <c r="E635">
        <v>2023</v>
      </c>
    </row>
    <row r="636" spans="1:5" hidden="1" x14ac:dyDescent="0.25">
      <c r="A636" t="s">
        <v>44</v>
      </c>
      <c r="B636" s="1">
        <v>45108</v>
      </c>
      <c r="C636" s="2">
        <v>628.75</v>
      </c>
      <c r="D636" t="s">
        <v>47</v>
      </c>
      <c r="E636">
        <v>2023</v>
      </c>
    </row>
    <row r="637" spans="1:5" hidden="1" x14ac:dyDescent="0.25">
      <c r="A637" t="s">
        <v>44</v>
      </c>
      <c r="B637" s="1">
        <v>45200</v>
      </c>
      <c r="C637" s="2">
        <v>628.33330000000001</v>
      </c>
      <c r="D637" t="s">
        <v>49</v>
      </c>
      <c r="E637">
        <v>2023</v>
      </c>
    </row>
    <row r="638" spans="1:5" hidden="1" x14ac:dyDescent="0.25">
      <c r="A638" t="s">
        <v>44</v>
      </c>
      <c r="B638" s="1">
        <v>45170</v>
      </c>
      <c r="C638" s="2">
        <v>625.11109999999996</v>
      </c>
      <c r="D638" t="s">
        <v>51</v>
      </c>
      <c r="E638">
        <v>2023</v>
      </c>
    </row>
    <row r="639" spans="1:5" hidden="1" x14ac:dyDescent="0.25">
      <c r="A639" t="s">
        <v>44</v>
      </c>
      <c r="B639" s="1">
        <v>45139</v>
      </c>
      <c r="C639" s="2">
        <v>621.875</v>
      </c>
      <c r="D639" t="s">
        <v>50</v>
      </c>
      <c r="E639">
        <v>2023</v>
      </c>
    </row>
    <row r="640" spans="1:5" hidden="1" x14ac:dyDescent="0.25">
      <c r="A640" t="s">
        <v>44</v>
      </c>
      <c r="B640" s="1">
        <v>45078</v>
      </c>
      <c r="C640" s="2">
        <v>545.55560000000003</v>
      </c>
      <c r="D640" t="s">
        <v>48</v>
      </c>
      <c r="E640">
        <v>2023</v>
      </c>
    </row>
    <row r="641" spans="1:5" hidden="1" x14ac:dyDescent="0.25">
      <c r="A641" t="s">
        <v>44</v>
      </c>
      <c r="B641" s="1">
        <v>45047</v>
      </c>
      <c r="C641" s="2">
        <v>286.39999999999998</v>
      </c>
      <c r="D641" t="s">
        <v>9</v>
      </c>
      <c r="E641">
        <v>2023</v>
      </c>
    </row>
    <row r="642" spans="1:5" hidden="1" x14ac:dyDescent="0.25">
      <c r="A642" t="s">
        <v>44</v>
      </c>
      <c r="B642" s="1">
        <v>44958</v>
      </c>
      <c r="C642" s="2">
        <v>278.18180000000001</v>
      </c>
      <c r="D642" t="s">
        <v>16</v>
      </c>
      <c r="E642">
        <v>2023</v>
      </c>
    </row>
    <row r="643" spans="1:5" hidden="1" x14ac:dyDescent="0.25">
      <c r="A643" t="s">
        <v>44</v>
      </c>
      <c r="B643" s="1">
        <v>45017</v>
      </c>
      <c r="C643" s="2">
        <v>271.81819999999999</v>
      </c>
      <c r="D643" t="s">
        <v>11</v>
      </c>
      <c r="E643">
        <v>2023</v>
      </c>
    </row>
    <row r="644" spans="1:5" hidden="1" x14ac:dyDescent="0.25">
      <c r="A644" t="s">
        <v>44</v>
      </c>
      <c r="B644" s="1">
        <v>44927</v>
      </c>
      <c r="C644" s="2">
        <v>270.875</v>
      </c>
      <c r="D644" t="s">
        <v>5</v>
      </c>
      <c r="E644">
        <v>2023</v>
      </c>
    </row>
    <row r="645" spans="1:5" hidden="1" x14ac:dyDescent="0.25">
      <c r="A645" t="s">
        <v>44</v>
      </c>
      <c r="B645" s="1">
        <v>44986</v>
      </c>
      <c r="C645" s="2">
        <v>261.16669999999999</v>
      </c>
      <c r="D645" t="s">
        <v>13</v>
      </c>
      <c r="E645">
        <v>2023</v>
      </c>
    </row>
    <row r="646" spans="1:5" hidden="1" x14ac:dyDescent="0.25">
      <c r="A646" t="s">
        <v>24</v>
      </c>
      <c r="B646" s="1">
        <v>45717</v>
      </c>
      <c r="C646" s="2">
        <v>1298.9393</v>
      </c>
      <c r="D646" t="s">
        <v>13</v>
      </c>
      <c r="E646">
        <v>2025</v>
      </c>
    </row>
    <row r="647" spans="1:5" hidden="1" x14ac:dyDescent="0.25">
      <c r="A647" t="s">
        <v>24</v>
      </c>
      <c r="B647" s="1">
        <v>45748</v>
      </c>
      <c r="C647" s="2">
        <v>1258</v>
      </c>
      <c r="D647" t="s">
        <v>11</v>
      </c>
      <c r="E647">
        <v>2025</v>
      </c>
    </row>
    <row r="648" spans="1:5" x14ac:dyDescent="0.25">
      <c r="A648" t="s">
        <v>24</v>
      </c>
      <c r="B648" s="1">
        <v>45597</v>
      </c>
      <c r="C648" s="2">
        <v>1249.9792</v>
      </c>
      <c r="D648" t="s">
        <v>53</v>
      </c>
      <c r="E648">
        <v>2024</v>
      </c>
    </row>
    <row r="649" spans="1:5" hidden="1" x14ac:dyDescent="0.25">
      <c r="A649" t="s">
        <v>24</v>
      </c>
      <c r="B649" s="1">
        <v>45689</v>
      </c>
      <c r="C649" s="2">
        <v>1221.4286</v>
      </c>
      <c r="D649" t="s">
        <v>16</v>
      </c>
      <c r="E649">
        <v>2025</v>
      </c>
    </row>
    <row r="650" spans="1:5" x14ac:dyDescent="0.25">
      <c r="A650" t="s">
        <v>24</v>
      </c>
      <c r="B650" s="1">
        <v>45566</v>
      </c>
      <c r="C650" s="2">
        <v>1193.1374000000001</v>
      </c>
      <c r="D650" t="s">
        <v>49</v>
      </c>
      <c r="E650">
        <v>2024</v>
      </c>
    </row>
    <row r="651" spans="1:5" x14ac:dyDescent="0.25">
      <c r="A651" t="s">
        <v>24</v>
      </c>
      <c r="B651" s="1">
        <v>45627</v>
      </c>
      <c r="C651" s="2">
        <v>1188.1818000000001</v>
      </c>
      <c r="D651" t="s">
        <v>52</v>
      </c>
      <c r="E651">
        <v>2024</v>
      </c>
    </row>
    <row r="652" spans="1:5" hidden="1" x14ac:dyDescent="0.25">
      <c r="A652" t="s">
        <v>24</v>
      </c>
      <c r="B652" s="1">
        <v>45658</v>
      </c>
      <c r="C652" s="2">
        <v>1114.2856999999999</v>
      </c>
      <c r="D652" t="s">
        <v>5</v>
      </c>
      <c r="E652">
        <v>2025</v>
      </c>
    </row>
    <row r="653" spans="1:5" x14ac:dyDescent="0.25">
      <c r="A653" t="s">
        <v>24</v>
      </c>
      <c r="B653" s="1">
        <v>45536</v>
      </c>
      <c r="C653" s="2">
        <v>1063.0907999999999</v>
      </c>
      <c r="D653" t="s">
        <v>51</v>
      </c>
      <c r="E653">
        <v>2024</v>
      </c>
    </row>
    <row r="654" spans="1:5" x14ac:dyDescent="0.25">
      <c r="A654" t="s">
        <v>24</v>
      </c>
      <c r="B654" s="1">
        <v>45505</v>
      </c>
      <c r="C654" s="2">
        <v>842.80560000000003</v>
      </c>
      <c r="D654" t="s">
        <v>50</v>
      </c>
      <c r="E654">
        <v>2024</v>
      </c>
    </row>
    <row r="655" spans="1:5" x14ac:dyDescent="0.25">
      <c r="A655" t="s">
        <v>24</v>
      </c>
      <c r="B655" s="1">
        <v>45383</v>
      </c>
      <c r="C655" s="2">
        <v>797.77779999999996</v>
      </c>
      <c r="D655" t="s">
        <v>11</v>
      </c>
      <c r="E655">
        <v>2024</v>
      </c>
    </row>
    <row r="656" spans="1:5" x14ac:dyDescent="0.25">
      <c r="A656" t="s">
        <v>24</v>
      </c>
      <c r="B656" s="1">
        <v>45444</v>
      </c>
      <c r="C656" s="2">
        <v>789.47370000000001</v>
      </c>
      <c r="D656" t="s">
        <v>48</v>
      </c>
      <c r="E656">
        <v>2024</v>
      </c>
    </row>
    <row r="657" spans="1:5" x14ac:dyDescent="0.25">
      <c r="A657" t="s">
        <v>24</v>
      </c>
      <c r="B657" s="1">
        <v>45474</v>
      </c>
      <c r="C657" s="2">
        <v>751.42939999999999</v>
      </c>
      <c r="D657" t="s">
        <v>47</v>
      </c>
      <c r="E657">
        <v>2024</v>
      </c>
    </row>
    <row r="658" spans="1:5" x14ac:dyDescent="0.25">
      <c r="A658" t="s">
        <v>24</v>
      </c>
      <c r="B658" s="1">
        <v>45413</v>
      </c>
      <c r="C658" s="2">
        <v>697.66459999999995</v>
      </c>
      <c r="D658" t="s">
        <v>9</v>
      </c>
      <c r="E658">
        <v>2024</v>
      </c>
    </row>
    <row r="659" spans="1:5" x14ac:dyDescent="0.25">
      <c r="A659" t="s">
        <v>24</v>
      </c>
      <c r="B659" s="1">
        <v>45352</v>
      </c>
      <c r="C659" s="2">
        <v>690.59379999999999</v>
      </c>
      <c r="D659" t="s">
        <v>13</v>
      </c>
      <c r="E659">
        <v>2024</v>
      </c>
    </row>
    <row r="660" spans="1:5" x14ac:dyDescent="0.25">
      <c r="A660" t="s">
        <v>24</v>
      </c>
      <c r="B660" s="1">
        <v>45323</v>
      </c>
      <c r="C660" s="2">
        <v>675.5</v>
      </c>
      <c r="D660" t="s">
        <v>16</v>
      </c>
      <c r="E660">
        <v>2024</v>
      </c>
    </row>
    <row r="661" spans="1:5" hidden="1" x14ac:dyDescent="0.25">
      <c r="A661" t="s">
        <v>24</v>
      </c>
      <c r="B661" s="1">
        <v>45261</v>
      </c>
      <c r="C661" s="2">
        <v>660.90909999999997</v>
      </c>
      <c r="D661" t="s">
        <v>52</v>
      </c>
      <c r="E661">
        <v>2023</v>
      </c>
    </row>
    <row r="662" spans="1:5" hidden="1" x14ac:dyDescent="0.25">
      <c r="A662" t="s">
        <v>24</v>
      </c>
      <c r="B662" s="1">
        <v>45231</v>
      </c>
      <c r="C662" s="2">
        <v>649.16669999999999</v>
      </c>
      <c r="D662" t="s">
        <v>53</v>
      </c>
      <c r="E662">
        <v>2023</v>
      </c>
    </row>
    <row r="663" spans="1:5" hidden="1" x14ac:dyDescent="0.25">
      <c r="A663" t="s">
        <v>24</v>
      </c>
      <c r="B663" s="1">
        <v>45200</v>
      </c>
      <c r="C663" s="2">
        <v>640</v>
      </c>
      <c r="D663" t="s">
        <v>49</v>
      </c>
      <c r="E663">
        <v>2023</v>
      </c>
    </row>
    <row r="664" spans="1:5" hidden="1" x14ac:dyDescent="0.25">
      <c r="A664" t="s">
        <v>24</v>
      </c>
      <c r="B664" s="1">
        <v>45139</v>
      </c>
      <c r="C664" s="2">
        <v>632.11109999999996</v>
      </c>
      <c r="D664" t="s">
        <v>50</v>
      </c>
      <c r="E664">
        <v>2023</v>
      </c>
    </row>
    <row r="665" spans="1:5" hidden="1" x14ac:dyDescent="0.25">
      <c r="A665" t="s">
        <v>24</v>
      </c>
      <c r="B665" s="1">
        <v>45170</v>
      </c>
      <c r="C665" s="2">
        <v>629.44439999999997</v>
      </c>
      <c r="D665" t="s">
        <v>51</v>
      </c>
      <c r="E665">
        <v>2023</v>
      </c>
    </row>
    <row r="666" spans="1:5" x14ac:dyDescent="0.25">
      <c r="A666" t="s">
        <v>24</v>
      </c>
      <c r="B666" s="1">
        <v>45292</v>
      </c>
      <c r="C666" s="2">
        <v>626.78700000000003</v>
      </c>
      <c r="D666" t="s">
        <v>5</v>
      </c>
      <c r="E666">
        <v>2024</v>
      </c>
    </row>
    <row r="667" spans="1:5" hidden="1" x14ac:dyDescent="0.25">
      <c r="A667" t="s">
        <v>24</v>
      </c>
      <c r="B667" s="1">
        <v>45078</v>
      </c>
      <c r="C667" s="2">
        <v>550.83330000000001</v>
      </c>
      <c r="D667" t="s">
        <v>48</v>
      </c>
      <c r="E667">
        <v>2023</v>
      </c>
    </row>
    <row r="668" spans="1:5" hidden="1" x14ac:dyDescent="0.25">
      <c r="A668" t="s">
        <v>24</v>
      </c>
      <c r="B668" s="1">
        <v>45108</v>
      </c>
      <c r="C668" s="2">
        <v>549.09090000000003</v>
      </c>
      <c r="D668" t="s">
        <v>47</v>
      </c>
      <c r="E668">
        <v>2023</v>
      </c>
    </row>
    <row r="669" spans="1:5" hidden="1" x14ac:dyDescent="0.25">
      <c r="A669" t="s">
        <v>24</v>
      </c>
      <c r="B669" s="1">
        <v>45017</v>
      </c>
      <c r="C669" s="2">
        <v>291.42860000000002</v>
      </c>
      <c r="D669" t="s">
        <v>11</v>
      </c>
      <c r="E669">
        <v>2023</v>
      </c>
    </row>
    <row r="670" spans="1:5" hidden="1" x14ac:dyDescent="0.25">
      <c r="A670" t="s">
        <v>24</v>
      </c>
      <c r="B670" s="1">
        <v>44958</v>
      </c>
      <c r="C670" s="2">
        <v>236.5385</v>
      </c>
      <c r="D670" t="s">
        <v>16</v>
      </c>
      <c r="E670">
        <v>2023</v>
      </c>
    </row>
    <row r="671" spans="1:5" hidden="1" x14ac:dyDescent="0.25">
      <c r="A671" t="s">
        <v>24</v>
      </c>
      <c r="B671" s="1">
        <v>44927</v>
      </c>
      <c r="C671" s="2">
        <v>236.5385</v>
      </c>
      <c r="D671" t="s">
        <v>5</v>
      </c>
      <c r="E671">
        <v>2023</v>
      </c>
    </row>
    <row r="672" spans="1:5" hidden="1" x14ac:dyDescent="0.25">
      <c r="A672" t="s">
        <v>24</v>
      </c>
      <c r="B672" s="1">
        <v>45047</v>
      </c>
      <c r="C672" s="2">
        <v>220.38460000000001</v>
      </c>
      <c r="D672" t="s">
        <v>9</v>
      </c>
      <c r="E672">
        <v>2023</v>
      </c>
    </row>
    <row r="673" spans="1:5" hidden="1" x14ac:dyDescent="0.25">
      <c r="A673" t="s">
        <v>24</v>
      </c>
      <c r="B673" s="1">
        <v>44986</v>
      </c>
      <c r="C673" s="2">
        <v>210</v>
      </c>
      <c r="D673" t="s">
        <v>13</v>
      </c>
      <c r="E673">
        <v>2023</v>
      </c>
    </row>
    <row r="674" spans="1:5" x14ac:dyDescent="0.25">
      <c r="A674" t="s">
        <v>26</v>
      </c>
      <c r="B674" s="1">
        <v>45597</v>
      </c>
      <c r="C674" s="2">
        <v>1173.0615</v>
      </c>
      <c r="D674" t="s">
        <v>53</v>
      </c>
      <c r="E674">
        <v>2024</v>
      </c>
    </row>
    <row r="675" spans="1:5" hidden="1" x14ac:dyDescent="0.25">
      <c r="A675" t="s">
        <v>26</v>
      </c>
      <c r="B675" s="1">
        <v>45658</v>
      </c>
      <c r="C675" s="2">
        <v>1171.9969000000001</v>
      </c>
      <c r="D675" t="s">
        <v>5</v>
      </c>
      <c r="E675">
        <v>2025</v>
      </c>
    </row>
    <row r="676" spans="1:5" x14ac:dyDescent="0.25">
      <c r="A676" t="s">
        <v>26</v>
      </c>
      <c r="B676" s="1">
        <v>45566</v>
      </c>
      <c r="C676" s="2">
        <v>1162.4614999999999</v>
      </c>
      <c r="D676" t="s">
        <v>49</v>
      </c>
      <c r="E676">
        <v>2024</v>
      </c>
    </row>
    <row r="677" spans="1:5" x14ac:dyDescent="0.25">
      <c r="A677" t="s">
        <v>26</v>
      </c>
      <c r="B677" s="1">
        <v>45627</v>
      </c>
      <c r="C677" s="2">
        <v>1133.0769</v>
      </c>
      <c r="D677" t="s">
        <v>52</v>
      </c>
      <c r="E677">
        <v>2024</v>
      </c>
    </row>
    <row r="678" spans="1:5" hidden="1" x14ac:dyDescent="0.25">
      <c r="A678" t="s">
        <v>26</v>
      </c>
      <c r="B678" s="1">
        <v>45717</v>
      </c>
      <c r="C678" s="2">
        <v>1106.143</v>
      </c>
      <c r="D678" t="s">
        <v>13</v>
      </c>
      <c r="E678">
        <v>2025</v>
      </c>
    </row>
    <row r="679" spans="1:5" hidden="1" x14ac:dyDescent="0.25">
      <c r="A679" t="s">
        <v>26</v>
      </c>
      <c r="B679" s="1">
        <v>45689</v>
      </c>
      <c r="C679" s="2">
        <v>1070</v>
      </c>
      <c r="D679" t="s">
        <v>16</v>
      </c>
      <c r="E679">
        <v>2025</v>
      </c>
    </row>
    <row r="680" spans="1:5" x14ac:dyDescent="0.25">
      <c r="A680" t="s">
        <v>26</v>
      </c>
      <c r="B680" s="1">
        <v>45536</v>
      </c>
      <c r="C680" s="2">
        <v>1045.4375</v>
      </c>
      <c r="D680" t="s">
        <v>51</v>
      </c>
      <c r="E680">
        <v>2024</v>
      </c>
    </row>
    <row r="681" spans="1:5" hidden="1" x14ac:dyDescent="0.25">
      <c r="A681" t="s">
        <v>26</v>
      </c>
      <c r="B681" s="1">
        <v>45748</v>
      </c>
      <c r="C681" s="2">
        <v>1014.8508</v>
      </c>
      <c r="D681" t="s">
        <v>11</v>
      </c>
      <c r="E681">
        <v>2025</v>
      </c>
    </row>
    <row r="682" spans="1:5" x14ac:dyDescent="0.25">
      <c r="A682" t="s">
        <v>26</v>
      </c>
      <c r="B682" s="1">
        <v>45505</v>
      </c>
      <c r="C682" s="2">
        <v>747.5</v>
      </c>
      <c r="D682" t="s">
        <v>50</v>
      </c>
      <c r="E682">
        <v>2024</v>
      </c>
    </row>
    <row r="683" spans="1:5" x14ac:dyDescent="0.25">
      <c r="A683" t="s">
        <v>26</v>
      </c>
      <c r="B683" s="1">
        <v>45352</v>
      </c>
      <c r="C683" s="2">
        <v>665.68179999999995</v>
      </c>
      <c r="D683" t="s">
        <v>13</v>
      </c>
      <c r="E683">
        <v>2024</v>
      </c>
    </row>
    <row r="684" spans="1:5" hidden="1" x14ac:dyDescent="0.25">
      <c r="A684" t="s">
        <v>26</v>
      </c>
      <c r="B684" s="1">
        <v>45261</v>
      </c>
      <c r="C684" s="2">
        <v>650.625</v>
      </c>
      <c r="D684" t="s">
        <v>52</v>
      </c>
      <c r="E684">
        <v>2023</v>
      </c>
    </row>
    <row r="685" spans="1:5" x14ac:dyDescent="0.25">
      <c r="A685" t="s">
        <v>26</v>
      </c>
      <c r="B685" s="1">
        <v>45474</v>
      </c>
      <c r="C685" s="2">
        <v>650</v>
      </c>
      <c r="D685" t="s">
        <v>47</v>
      </c>
      <c r="E685">
        <v>2024</v>
      </c>
    </row>
    <row r="686" spans="1:5" x14ac:dyDescent="0.25">
      <c r="A686" t="s">
        <v>26</v>
      </c>
      <c r="B686" s="1">
        <v>45444</v>
      </c>
      <c r="C686" s="2">
        <v>650</v>
      </c>
      <c r="D686" t="s">
        <v>48</v>
      </c>
      <c r="E686">
        <v>2024</v>
      </c>
    </row>
    <row r="687" spans="1:5" x14ac:dyDescent="0.25">
      <c r="A687" t="s">
        <v>26</v>
      </c>
      <c r="B687" s="1">
        <v>45383</v>
      </c>
      <c r="C687" s="2">
        <v>650</v>
      </c>
      <c r="D687" t="s">
        <v>11</v>
      </c>
      <c r="E687">
        <v>2024</v>
      </c>
    </row>
    <row r="688" spans="1:5" x14ac:dyDescent="0.25">
      <c r="A688" t="s">
        <v>26</v>
      </c>
      <c r="B688" s="1">
        <v>45323</v>
      </c>
      <c r="C688" s="2">
        <v>650</v>
      </c>
      <c r="D688" t="s">
        <v>16</v>
      </c>
      <c r="E688">
        <v>2024</v>
      </c>
    </row>
    <row r="689" spans="1:5" x14ac:dyDescent="0.25">
      <c r="A689" t="s">
        <v>26</v>
      </c>
      <c r="B689" s="1">
        <v>45413</v>
      </c>
      <c r="C689" s="2">
        <v>645.14570000000003</v>
      </c>
      <c r="D689" t="s">
        <v>9</v>
      </c>
      <c r="E689">
        <v>2024</v>
      </c>
    </row>
    <row r="690" spans="1:5" hidden="1" x14ac:dyDescent="0.25">
      <c r="A690" t="s">
        <v>26</v>
      </c>
      <c r="B690" s="1">
        <v>45231</v>
      </c>
      <c r="C690" s="2">
        <v>642.5</v>
      </c>
      <c r="D690" t="s">
        <v>53</v>
      </c>
      <c r="E690">
        <v>2023</v>
      </c>
    </row>
    <row r="691" spans="1:5" hidden="1" x14ac:dyDescent="0.25">
      <c r="A691" t="s">
        <v>26</v>
      </c>
      <c r="B691" s="1">
        <v>45200</v>
      </c>
      <c r="C691" s="2">
        <v>624.28570000000002</v>
      </c>
      <c r="D691" t="s">
        <v>49</v>
      </c>
      <c r="E691">
        <v>2023</v>
      </c>
    </row>
    <row r="692" spans="1:5" hidden="1" x14ac:dyDescent="0.25">
      <c r="A692" t="s">
        <v>26</v>
      </c>
      <c r="B692" s="1">
        <v>45170</v>
      </c>
      <c r="C692" s="2">
        <v>618.54999999999995</v>
      </c>
      <c r="D692" t="s">
        <v>51</v>
      </c>
      <c r="E692">
        <v>2023</v>
      </c>
    </row>
    <row r="693" spans="1:5" hidden="1" x14ac:dyDescent="0.25">
      <c r="A693" t="s">
        <v>26</v>
      </c>
      <c r="B693" s="1">
        <v>45139</v>
      </c>
      <c r="C693" s="2">
        <v>618</v>
      </c>
      <c r="D693" t="s">
        <v>50</v>
      </c>
      <c r="E693">
        <v>2023</v>
      </c>
    </row>
    <row r="694" spans="1:5" x14ac:dyDescent="0.25">
      <c r="A694" t="s">
        <v>26</v>
      </c>
      <c r="B694" s="1">
        <v>45292</v>
      </c>
      <c r="C694" s="2">
        <v>614.90089999999998</v>
      </c>
      <c r="D694" t="s">
        <v>5</v>
      </c>
      <c r="E694">
        <v>2024</v>
      </c>
    </row>
    <row r="695" spans="1:5" hidden="1" x14ac:dyDescent="0.25">
      <c r="A695" t="s">
        <v>26</v>
      </c>
      <c r="B695" s="1">
        <v>45078</v>
      </c>
      <c r="C695" s="2">
        <v>540</v>
      </c>
      <c r="D695" t="s">
        <v>48</v>
      </c>
      <c r="E695">
        <v>2023</v>
      </c>
    </row>
    <row r="696" spans="1:5" hidden="1" x14ac:dyDescent="0.25">
      <c r="A696" t="s">
        <v>26</v>
      </c>
      <c r="B696" s="1">
        <v>45108</v>
      </c>
      <c r="C696" s="2">
        <v>535.44439999999997</v>
      </c>
      <c r="D696" t="s">
        <v>47</v>
      </c>
      <c r="E696">
        <v>2023</v>
      </c>
    </row>
    <row r="697" spans="1:5" hidden="1" x14ac:dyDescent="0.25">
      <c r="A697" t="s">
        <v>26</v>
      </c>
      <c r="B697" s="1">
        <v>45017</v>
      </c>
      <c r="C697" s="2">
        <v>297.64710000000002</v>
      </c>
      <c r="D697" t="s">
        <v>11</v>
      </c>
      <c r="E697">
        <v>2023</v>
      </c>
    </row>
    <row r="698" spans="1:5" hidden="1" x14ac:dyDescent="0.25">
      <c r="A698" t="s">
        <v>26</v>
      </c>
      <c r="B698" s="1">
        <v>44958</v>
      </c>
      <c r="C698" s="2">
        <v>265.41669999999999</v>
      </c>
      <c r="D698" t="s">
        <v>16</v>
      </c>
      <c r="E698">
        <v>2023</v>
      </c>
    </row>
    <row r="699" spans="1:5" hidden="1" x14ac:dyDescent="0.25">
      <c r="A699" t="s">
        <v>26</v>
      </c>
      <c r="B699" s="1">
        <v>44927</v>
      </c>
      <c r="C699" s="2">
        <v>229.375</v>
      </c>
      <c r="D699" t="s">
        <v>5</v>
      </c>
      <c r="E699">
        <v>2023</v>
      </c>
    </row>
    <row r="700" spans="1:5" hidden="1" x14ac:dyDescent="0.25">
      <c r="A700" t="s">
        <v>26</v>
      </c>
      <c r="B700" s="1">
        <v>44986</v>
      </c>
      <c r="C700" s="2">
        <v>215</v>
      </c>
      <c r="D700" t="s">
        <v>13</v>
      </c>
      <c r="E700">
        <v>2023</v>
      </c>
    </row>
    <row r="701" spans="1:5" hidden="1" x14ac:dyDescent="0.25">
      <c r="A701" t="s">
        <v>26</v>
      </c>
      <c r="B701" s="1">
        <v>45047</v>
      </c>
      <c r="C701" s="2">
        <v>212.5</v>
      </c>
      <c r="D701" t="s">
        <v>9</v>
      </c>
      <c r="E701">
        <v>2023</v>
      </c>
    </row>
    <row r="702" spans="1:5" hidden="1" x14ac:dyDescent="0.25">
      <c r="A702" t="s">
        <v>28</v>
      </c>
      <c r="B702" s="1">
        <v>45658</v>
      </c>
      <c r="C702" s="2">
        <v>1122.2221999999999</v>
      </c>
      <c r="D702" t="s">
        <v>5</v>
      </c>
      <c r="E702">
        <v>2025</v>
      </c>
    </row>
    <row r="703" spans="1:5" x14ac:dyDescent="0.25">
      <c r="A703" t="s">
        <v>28</v>
      </c>
      <c r="B703" s="1">
        <v>45627</v>
      </c>
      <c r="C703" s="2">
        <v>1106.3333</v>
      </c>
      <c r="D703" t="s">
        <v>52</v>
      </c>
      <c r="E703">
        <v>2024</v>
      </c>
    </row>
    <row r="704" spans="1:5" x14ac:dyDescent="0.25">
      <c r="A704" t="s">
        <v>28</v>
      </c>
      <c r="B704" s="1">
        <v>45597</v>
      </c>
      <c r="C704" s="2">
        <v>1092.7895000000001</v>
      </c>
      <c r="D704" t="s">
        <v>53</v>
      </c>
      <c r="E704">
        <v>2024</v>
      </c>
    </row>
    <row r="705" spans="1:5" x14ac:dyDescent="0.25">
      <c r="A705" t="s">
        <v>28</v>
      </c>
      <c r="B705" s="1">
        <v>45566</v>
      </c>
      <c r="C705" s="2">
        <v>1080.9523999999999</v>
      </c>
      <c r="D705" t="s">
        <v>49</v>
      </c>
      <c r="E705">
        <v>2024</v>
      </c>
    </row>
    <row r="706" spans="1:5" hidden="1" x14ac:dyDescent="0.25">
      <c r="A706" t="s">
        <v>28</v>
      </c>
      <c r="B706" s="1">
        <v>45748</v>
      </c>
      <c r="C706" s="2">
        <v>1064.5762</v>
      </c>
      <c r="D706" t="s">
        <v>11</v>
      </c>
      <c r="E706">
        <v>2025</v>
      </c>
    </row>
    <row r="707" spans="1:5" x14ac:dyDescent="0.25">
      <c r="A707" t="s">
        <v>28</v>
      </c>
      <c r="B707" s="1">
        <v>45536</v>
      </c>
      <c r="C707" s="2">
        <v>1000.4761999999999</v>
      </c>
      <c r="D707" t="s">
        <v>51</v>
      </c>
      <c r="E707">
        <v>2024</v>
      </c>
    </row>
    <row r="708" spans="1:5" hidden="1" x14ac:dyDescent="0.25">
      <c r="A708" t="s">
        <v>28</v>
      </c>
      <c r="B708" s="1">
        <v>45689</v>
      </c>
      <c r="C708" s="2">
        <v>975.55560000000003</v>
      </c>
      <c r="D708" t="s">
        <v>16</v>
      </c>
      <c r="E708">
        <v>2025</v>
      </c>
    </row>
    <row r="709" spans="1:5" hidden="1" x14ac:dyDescent="0.25">
      <c r="A709" t="s">
        <v>28</v>
      </c>
      <c r="B709" s="1">
        <v>45717</v>
      </c>
      <c r="C709" s="2">
        <v>975</v>
      </c>
      <c r="D709" t="s">
        <v>13</v>
      </c>
      <c r="E709">
        <v>2025</v>
      </c>
    </row>
    <row r="710" spans="1:5" x14ac:dyDescent="0.25">
      <c r="A710" t="s">
        <v>28</v>
      </c>
      <c r="B710" s="1">
        <v>45505</v>
      </c>
      <c r="C710" s="2">
        <v>765.29409999999996</v>
      </c>
      <c r="D710" t="s">
        <v>50</v>
      </c>
      <c r="E710">
        <v>2024</v>
      </c>
    </row>
    <row r="711" spans="1:5" x14ac:dyDescent="0.25">
      <c r="A711" t="s">
        <v>28</v>
      </c>
      <c r="B711" s="1">
        <v>45474</v>
      </c>
      <c r="C711" s="2">
        <v>693.82349999999997</v>
      </c>
      <c r="D711" t="s">
        <v>47</v>
      </c>
      <c r="E711">
        <v>2024</v>
      </c>
    </row>
    <row r="712" spans="1:5" x14ac:dyDescent="0.25">
      <c r="A712" t="s">
        <v>28</v>
      </c>
      <c r="B712" s="1">
        <v>45292</v>
      </c>
      <c r="C712" s="2">
        <v>663.04949999999997</v>
      </c>
      <c r="D712" t="s">
        <v>5</v>
      </c>
      <c r="E712">
        <v>2024</v>
      </c>
    </row>
    <row r="713" spans="1:5" x14ac:dyDescent="0.25">
      <c r="A713" t="s">
        <v>28</v>
      </c>
      <c r="B713" s="1">
        <v>45323</v>
      </c>
      <c r="C713" s="2">
        <v>654.23080000000004</v>
      </c>
      <c r="D713" t="s">
        <v>16</v>
      </c>
      <c r="E713">
        <v>2024</v>
      </c>
    </row>
    <row r="714" spans="1:5" x14ac:dyDescent="0.25">
      <c r="A714" t="s">
        <v>28</v>
      </c>
      <c r="B714" s="1">
        <v>45413</v>
      </c>
      <c r="C714" s="2">
        <v>636.79999999999995</v>
      </c>
      <c r="D714" t="s">
        <v>9</v>
      </c>
      <c r="E714">
        <v>2024</v>
      </c>
    </row>
    <row r="715" spans="1:5" x14ac:dyDescent="0.25">
      <c r="A715" t="s">
        <v>28</v>
      </c>
      <c r="B715" s="1">
        <v>45352</v>
      </c>
      <c r="C715" s="2">
        <v>630.75</v>
      </c>
      <c r="D715" t="s">
        <v>13</v>
      </c>
      <c r="E715">
        <v>2024</v>
      </c>
    </row>
    <row r="716" spans="1:5" x14ac:dyDescent="0.25">
      <c r="A716" t="s">
        <v>28</v>
      </c>
      <c r="B716" s="1">
        <v>45444</v>
      </c>
      <c r="C716" s="2">
        <v>626.94119999999998</v>
      </c>
      <c r="D716" t="s">
        <v>48</v>
      </c>
      <c r="E716">
        <v>2024</v>
      </c>
    </row>
    <row r="717" spans="1:5" hidden="1" x14ac:dyDescent="0.25">
      <c r="A717" t="s">
        <v>28</v>
      </c>
      <c r="B717" s="1">
        <v>45170</v>
      </c>
      <c r="C717" s="2">
        <v>624.88890000000004</v>
      </c>
      <c r="D717" t="s">
        <v>51</v>
      </c>
      <c r="E717">
        <v>2023</v>
      </c>
    </row>
    <row r="718" spans="1:5" hidden="1" x14ac:dyDescent="0.25">
      <c r="A718" t="s">
        <v>28</v>
      </c>
      <c r="B718" s="1">
        <v>45231</v>
      </c>
      <c r="C718" s="2">
        <v>623.11760000000004</v>
      </c>
      <c r="D718" t="s">
        <v>53</v>
      </c>
      <c r="E718">
        <v>2023</v>
      </c>
    </row>
    <row r="719" spans="1:5" hidden="1" x14ac:dyDescent="0.25">
      <c r="A719" t="s">
        <v>28</v>
      </c>
      <c r="B719" s="1">
        <v>45139</v>
      </c>
      <c r="C719" s="2">
        <v>620.6875</v>
      </c>
      <c r="D719" t="s">
        <v>50</v>
      </c>
      <c r="E719">
        <v>2023</v>
      </c>
    </row>
    <row r="720" spans="1:5" hidden="1" x14ac:dyDescent="0.25">
      <c r="A720" t="s">
        <v>28</v>
      </c>
      <c r="B720" s="1">
        <v>45108</v>
      </c>
      <c r="C720" s="2">
        <v>615.1</v>
      </c>
      <c r="D720" t="s">
        <v>47</v>
      </c>
      <c r="E720">
        <v>2023</v>
      </c>
    </row>
    <row r="721" spans="1:5" hidden="1" x14ac:dyDescent="0.25">
      <c r="A721" t="s">
        <v>28</v>
      </c>
      <c r="B721" s="1">
        <v>45261</v>
      </c>
      <c r="C721" s="2">
        <v>612.72220000000004</v>
      </c>
      <c r="D721" t="s">
        <v>52</v>
      </c>
      <c r="E721">
        <v>2023</v>
      </c>
    </row>
    <row r="722" spans="1:5" x14ac:dyDescent="0.25">
      <c r="A722" t="s">
        <v>28</v>
      </c>
      <c r="B722" s="1">
        <v>45383</v>
      </c>
      <c r="C722" s="2">
        <v>602.54999999999995</v>
      </c>
      <c r="D722" t="s">
        <v>11</v>
      </c>
      <c r="E722">
        <v>2024</v>
      </c>
    </row>
    <row r="723" spans="1:5" hidden="1" x14ac:dyDescent="0.25">
      <c r="A723" t="s">
        <v>28</v>
      </c>
      <c r="B723" s="1">
        <v>45200</v>
      </c>
      <c r="C723" s="2">
        <v>590.95000000000005</v>
      </c>
      <c r="D723" t="s">
        <v>49</v>
      </c>
      <c r="E723">
        <v>2023</v>
      </c>
    </row>
    <row r="724" spans="1:5" hidden="1" x14ac:dyDescent="0.25">
      <c r="A724" t="s">
        <v>28</v>
      </c>
      <c r="B724" s="1">
        <v>45078</v>
      </c>
      <c r="C724" s="2">
        <v>538.13329999999996</v>
      </c>
      <c r="D724" t="s">
        <v>48</v>
      </c>
      <c r="E724">
        <v>2023</v>
      </c>
    </row>
    <row r="725" spans="1:5" hidden="1" x14ac:dyDescent="0.25">
      <c r="A725" t="s">
        <v>28</v>
      </c>
      <c r="B725" s="1">
        <v>45017</v>
      </c>
      <c r="C725" s="2">
        <v>310.55</v>
      </c>
      <c r="D725" t="s">
        <v>11</v>
      </c>
      <c r="E725">
        <v>2023</v>
      </c>
    </row>
    <row r="726" spans="1:5" hidden="1" x14ac:dyDescent="0.25">
      <c r="A726" t="s">
        <v>28</v>
      </c>
      <c r="B726" s="1">
        <v>44958</v>
      </c>
      <c r="C726" s="2">
        <v>305.625</v>
      </c>
      <c r="D726" t="s">
        <v>16</v>
      </c>
      <c r="E726">
        <v>2023</v>
      </c>
    </row>
    <row r="727" spans="1:5" hidden="1" x14ac:dyDescent="0.25">
      <c r="A727" t="s">
        <v>28</v>
      </c>
      <c r="B727" s="1">
        <v>44927</v>
      </c>
      <c r="C727" s="2">
        <v>245.42859999999999</v>
      </c>
      <c r="D727" t="s">
        <v>5</v>
      </c>
      <c r="E727">
        <v>2023</v>
      </c>
    </row>
    <row r="728" spans="1:5" hidden="1" x14ac:dyDescent="0.25">
      <c r="A728" t="s">
        <v>28</v>
      </c>
      <c r="B728" s="1">
        <v>45047</v>
      </c>
      <c r="C728" s="2">
        <v>213.88890000000001</v>
      </c>
      <c r="D728" t="s">
        <v>9</v>
      </c>
      <c r="E728">
        <v>2023</v>
      </c>
    </row>
    <row r="729" spans="1:5" hidden="1" x14ac:dyDescent="0.25">
      <c r="A729" t="s">
        <v>28</v>
      </c>
      <c r="B729" s="1">
        <v>44986</v>
      </c>
      <c r="C729" s="2">
        <v>212.75</v>
      </c>
      <c r="D729" t="s">
        <v>13</v>
      </c>
      <c r="E729">
        <v>2023</v>
      </c>
    </row>
    <row r="730" spans="1:5" hidden="1" x14ac:dyDescent="0.25">
      <c r="A730" t="s">
        <v>14</v>
      </c>
      <c r="B730" s="1">
        <v>45658</v>
      </c>
      <c r="C730" s="2">
        <v>1302.2578000000001</v>
      </c>
      <c r="D730" t="s">
        <v>5</v>
      </c>
      <c r="E730">
        <v>2025</v>
      </c>
    </row>
    <row r="731" spans="1:5" hidden="1" x14ac:dyDescent="0.25">
      <c r="A731" t="s">
        <v>14</v>
      </c>
      <c r="B731" s="1">
        <v>45748</v>
      </c>
      <c r="C731" s="2">
        <v>1293.8996</v>
      </c>
      <c r="D731" t="s">
        <v>11</v>
      </c>
      <c r="E731">
        <v>2025</v>
      </c>
    </row>
    <row r="732" spans="1:5" hidden="1" x14ac:dyDescent="0.25">
      <c r="A732" t="s">
        <v>14</v>
      </c>
      <c r="B732" s="1">
        <v>45689</v>
      </c>
      <c r="C732" s="2">
        <v>1285.5413000000001</v>
      </c>
      <c r="D732" t="s">
        <v>16</v>
      </c>
      <c r="E732">
        <v>2025</v>
      </c>
    </row>
    <row r="733" spans="1:5" hidden="1" x14ac:dyDescent="0.25">
      <c r="A733" t="s">
        <v>14</v>
      </c>
      <c r="B733" s="1">
        <v>45717</v>
      </c>
      <c r="C733" s="2">
        <v>1238.2125000000001</v>
      </c>
      <c r="D733" t="s">
        <v>13</v>
      </c>
      <c r="E733">
        <v>2025</v>
      </c>
    </row>
    <row r="734" spans="1:5" x14ac:dyDescent="0.25">
      <c r="A734" t="s">
        <v>14</v>
      </c>
      <c r="B734" s="1">
        <v>45597</v>
      </c>
      <c r="C734" s="2">
        <v>1181.8864000000001</v>
      </c>
      <c r="D734" t="s">
        <v>53</v>
      </c>
      <c r="E734">
        <v>2024</v>
      </c>
    </row>
    <row r="735" spans="1:5" x14ac:dyDescent="0.25">
      <c r="A735" t="s">
        <v>14</v>
      </c>
      <c r="B735" s="1">
        <v>45627</v>
      </c>
      <c r="C735" s="2">
        <v>1157.1429000000001</v>
      </c>
      <c r="D735" t="s">
        <v>52</v>
      </c>
      <c r="E735">
        <v>2024</v>
      </c>
    </row>
    <row r="736" spans="1:5" x14ac:dyDescent="0.25">
      <c r="A736" t="s">
        <v>14</v>
      </c>
      <c r="B736" s="1">
        <v>45566</v>
      </c>
      <c r="C736" s="2">
        <v>1063.6841999999999</v>
      </c>
      <c r="D736" t="s">
        <v>49</v>
      </c>
      <c r="E736">
        <v>2024</v>
      </c>
    </row>
    <row r="737" spans="1:5" x14ac:dyDescent="0.25">
      <c r="A737" t="s">
        <v>14</v>
      </c>
      <c r="B737" s="1">
        <v>45536</v>
      </c>
      <c r="C737" s="2">
        <v>1016.1875</v>
      </c>
      <c r="D737" t="s">
        <v>51</v>
      </c>
      <c r="E737">
        <v>2024</v>
      </c>
    </row>
    <row r="738" spans="1:5" x14ac:dyDescent="0.25">
      <c r="A738" t="s">
        <v>14</v>
      </c>
      <c r="B738" s="1">
        <v>45505</v>
      </c>
      <c r="C738" s="2">
        <v>876.07690000000002</v>
      </c>
      <c r="D738" t="s">
        <v>50</v>
      </c>
      <c r="E738">
        <v>2024</v>
      </c>
    </row>
    <row r="739" spans="1:5" x14ac:dyDescent="0.25">
      <c r="A739" t="s">
        <v>14</v>
      </c>
      <c r="B739" s="1">
        <v>45474</v>
      </c>
      <c r="C739" s="2">
        <v>781.96209999999996</v>
      </c>
      <c r="D739" t="s">
        <v>47</v>
      </c>
      <c r="E739">
        <v>2024</v>
      </c>
    </row>
    <row r="740" spans="1:5" x14ac:dyDescent="0.25">
      <c r="A740" t="s">
        <v>14</v>
      </c>
      <c r="B740" s="1">
        <v>45383</v>
      </c>
      <c r="C740" s="2">
        <v>778.88890000000004</v>
      </c>
      <c r="D740" t="s">
        <v>11</v>
      </c>
      <c r="E740">
        <v>2024</v>
      </c>
    </row>
    <row r="741" spans="1:5" x14ac:dyDescent="0.25">
      <c r="A741" t="s">
        <v>14</v>
      </c>
      <c r="B741" s="1">
        <v>45444</v>
      </c>
      <c r="C741" s="2">
        <v>773.07690000000002</v>
      </c>
      <c r="D741" t="s">
        <v>48</v>
      </c>
      <c r="E741">
        <v>2024</v>
      </c>
    </row>
    <row r="742" spans="1:5" x14ac:dyDescent="0.25">
      <c r="A742" t="s">
        <v>14</v>
      </c>
      <c r="B742" s="1">
        <v>45352</v>
      </c>
      <c r="C742" s="2">
        <v>700.32140000000004</v>
      </c>
      <c r="D742" t="s">
        <v>13</v>
      </c>
      <c r="E742">
        <v>2024</v>
      </c>
    </row>
    <row r="743" spans="1:5" hidden="1" x14ac:dyDescent="0.25">
      <c r="A743" t="s">
        <v>14</v>
      </c>
      <c r="B743" s="1">
        <v>45261</v>
      </c>
      <c r="C743" s="2">
        <v>661.42859999999996</v>
      </c>
      <c r="D743" t="s">
        <v>52</v>
      </c>
      <c r="E743">
        <v>2023</v>
      </c>
    </row>
    <row r="744" spans="1:5" x14ac:dyDescent="0.25">
      <c r="A744" t="s">
        <v>14</v>
      </c>
      <c r="B744" s="1">
        <v>45413</v>
      </c>
      <c r="C744" s="2">
        <v>659.44439999999997</v>
      </c>
      <c r="D744" t="s">
        <v>9</v>
      </c>
      <c r="E744">
        <v>2024</v>
      </c>
    </row>
    <row r="745" spans="1:5" x14ac:dyDescent="0.25">
      <c r="A745" t="s">
        <v>14</v>
      </c>
      <c r="B745" s="1">
        <v>45323</v>
      </c>
      <c r="C745" s="2">
        <v>655</v>
      </c>
      <c r="D745" t="s">
        <v>16</v>
      </c>
      <c r="E745">
        <v>2024</v>
      </c>
    </row>
    <row r="746" spans="1:5" hidden="1" x14ac:dyDescent="0.25">
      <c r="A746" t="s">
        <v>14</v>
      </c>
      <c r="B746" s="1">
        <v>45231</v>
      </c>
      <c r="C746" s="2">
        <v>650</v>
      </c>
      <c r="D746" t="s">
        <v>53</v>
      </c>
      <c r="E746">
        <v>2023</v>
      </c>
    </row>
    <row r="747" spans="1:5" hidden="1" x14ac:dyDescent="0.25">
      <c r="A747" t="s">
        <v>14</v>
      </c>
      <c r="B747" s="1">
        <v>45139</v>
      </c>
      <c r="C747" s="2">
        <v>641</v>
      </c>
      <c r="D747" t="s">
        <v>50</v>
      </c>
      <c r="E747">
        <v>2023</v>
      </c>
    </row>
    <row r="748" spans="1:5" hidden="1" x14ac:dyDescent="0.25">
      <c r="A748" t="s">
        <v>14</v>
      </c>
      <c r="B748" s="1">
        <v>45200</v>
      </c>
      <c r="C748" s="2">
        <v>640.16669999999999</v>
      </c>
      <c r="D748" t="s">
        <v>49</v>
      </c>
      <c r="E748">
        <v>2023</v>
      </c>
    </row>
    <row r="749" spans="1:5" hidden="1" x14ac:dyDescent="0.25">
      <c r="A749" t="s">
        <v>14</v>
      </c>
      <c r="B749" s="1">
        <v>45170</v>
      </c>
      <c r="C749" s="2">
        <v>639.75</v>
      </c>
      <c r="D749" t="s">
        <v>51</v>
      </c>
      <c r="E749">
        <v>2023</v>
      </c>
    </row>
    <row r="750" spans="1:5" x14ac:dyDescent="0.25">
      <c r="A750" t="s">
        <v>14</v>
      </c>
      <c r="B750" s="1">
        <v>45292</v>
      </c>
      <c r="C750" s="2">
        <v>629.31939999999997</v>
      </c>
      <c r="D750" t="s">
        <v>5</v>
      </c>
      <c r="E750">
        <v>2024</v>
      </c>
    </row>
    <row r="751" spans="1:5" hidden="1" x14ac:dyDescent="0.25">
      <c r="A751" t="s">
        <v>14</v>
      </c>
      <c r="B751" s="1">
        <v>45108</v>
      </c>
      <c r="C751" s="2">
        <v>543.57140000000004</v>
      </c>
      <c r="D751" t="s">
        <v>47</v>
      </c>
      <c r="E751">
        <v>2023</v>
      </c>
    </row>
    <row r="752" spans="1:5" hidden="1" x14ac:dyDescent="0.25">
      <c r="A752" t="s">
        <v>14</v>
      </c>
      <c r="B752" s="1">
        <v>45078</v>
      </c>
      <c r="C752" s="2">
        <v>540.58330000000001</v>
      </c>
      <c r="D752" t="s">
        <v>48</v>
      </c>
      <c r="E752">
        <v>2023</v>
      </c>
    </row>
    <row r="753" spans="1:5" hidden="1" x14ac:dyDescent="0.25">
      <c r="A753" t="s">
        <v>14</v>
      </c>
      <c r="B753" s="1">
        <v>45017</v>
      </c>
      <c r="C753" s="2">
        <v>295.875</v>
      </c>
      <c r="D753" t="s">
        <v>11</v>
      </c>
      <c r="E753">
        <v>2023</v>
      </c>
    </row>
    <row r="754" spans="1:5" hidden="1" x14ac:dyDescent="0.25">
      <c r="A754" t="s">
        <v>14</v>
      </c>
      <c r="B754" s="1">
        <v>45047</v>
      </c>
      <c r="C754" s="2">
        <v>220</v>
      </c>
      <c r="D754" t="s">
        <v>9</v>
      </c>
      <c r="E754">
        <v>2023</v>
      </c>
    </row>
    <row r="755" spans="1:5" hidden="1" x14ac:dyDescent="0.25">
      <c r="A755" t="s">
        <v>14</v>
      </c>
      <c r="B755" s="1">
        <v>44927</v>
      </c>
      <c r="C755" s="2">
        <v>217.5</v>
      </c>
      <c r="D755" t="s">
        <v>5</v>
      </c>
      <c r="E755">
        <v>2023</v>
      </c>
    </row>
    <row r="756" spans="1:5" hidden="1" x14ac:dyDescent="0.25">
      <c r="A756" t="s">
        <v>14</v>
      </c>
      <c r="B756" s="1">
        <v>44958</v>
      </c>
      <c r="C756" s="2">
        <v>205.91669999999999</v>
      </c>
      <c r="D756" t="s">
        <v>16</v>
      </c>
      <c r="E756">
        <v>2023</v>
      </c>
    </row>
    <row r="757" spans="1:5" hidden="1" x14ac:dyDescent="0.25">
      <c r="A757" t="s">
        <v>14</v>
      </c>
      <c r="B757" s="1">
        <v>44986</v>
      </c>
      <c r="C757" s="2">
        <v>197.5</v>
      </c>
      <c r="D757" t="s">
        <v>13</v>
      </c>
      <c r="E757">
        <v>2023</v>
      </c>
    </row>
    <row r="758" spans="1:5" hidden="1" x14ac:dyDescent="0.25">
      <c r="A758" t="s">
        <v>15</v>
      </c>
      <c r="B758" s="1">
        <v>45689</v>
      </c>
      <c r="C758" s="2">
        <v>1386.6862000000001</v>
      </c>
      <c r="D758" t="s">
        <v>16</v>
      </c>
      <c r="E758">
        <v>2025</v>
      </c>
    </row>
    <row r="759" spans="1:5" hidden="1" x14ac:dyDescent="0.25">
      <c r="A759" t="s">
        <v>15</v>
      </c>
      <c r="B759" s="1">
        <v>45658</v>
      </c>
      <c r="C759" s="2">
        <v>1386.6862000000001</v>
      </c>
      <c r="D759" t="s">
        <v>5</v>
      </c>
      <c r="E759">
        <v>2025</v>
      </c>
    </row>
    <row r="760" spans="1:5" hidden="1" x14ac:dyDescent="0.25">
      <c r="A760" t="s">
        <v>15</v>
      </c>
      <c r="B760" s="1">
        <v>45748</v>
      </c>
      <c r="C760" s="2">
        <v>1309.54</v>
      </c>
      <c r="D760" t="s">
        <v>11</v>
      </c>
      <c r="E760">
        <v>2025</v>
      </c>
    </row>
    <row r="761" spans="1:5" hidden="1" x14ac:dyDescent="0.25">
      <c r="A761" t="s">
        <v>15</v>
      </c>
      <c r="B761" s="1">
        <v>45717</v>
      </c>
      <c r="C761" s="2">
        <v>1309</v>
      </c>
      <c r="D761" t="s">
        <v>13</v>
      </c>
      <c r="E761">
        <v>2025</v>
      </c>
    </row>
    <row r="762" spans="1:5" x14ac:dyDescent="0.25">
      <c r="A762" t="s">
        <v>15</v>
      </c>
      <c r="B762" s="1">
        <v>45627</v>
      </c>
      <c r="C762" s="2">
        <v>1176.0714</v>
      </c>
      <c r="D762" t="s">
        <v>52</v>
      </c>
      <c r="E762">
        <v>2024</v>
      </c>
    </row>
    <row r="763" spans="1:5" x14ac:dyDescent="0.25">
      <c r="A763" t="s">
        <v>15</v>
      </c>
      <c r="B763" s="1">
        <v>45597</v>
      </c>
      <c r="C763" s="2">
        <v>1173.1839</v>
      </c>
      <c r="D763" t="s">
        <v>53</v>
      </c>
      <c r="E763">
        <v>2024</v>
      </c>
    </row>
    <row r="764" spans="1:5" x14ac:dyDescent="0.25">
      <c r="A764" t="s">
        <v>15</v>
      </c>
      <c r="B764" s="1">
        <v>45566</v>
      </c>
      <c r="C764" s="2">
        <v>1088.0721000000001</v>
      </c>
      <c r="D764" t="s">
        <v>49</v>
      </c>
      <c r="E764">
        <v>2024</v>
      </c>
    </row>
    <row r="765" spans="1:5" x14ac:dyDescent="0.25">
      <c r="A765" t="s">
        <v>15</v>
      </c>
      <c r="B765" s="1">
        <v>45536</v>
      </c>
      <c r="C765" s="2">
        <v>993.88570000000004</v>
      </c>
      <c r="D765" t="s">
        <v>51</v>
      </c>
      <c r="E765">
        <v>2024</v>
      </c>
    </row>
    <row r="766" spans="1:5" x14ac:dyDescent="0.25">
      <c r="A766" t="s">
        <v>15</v>
      </c>
      <c r="B766" s="1">
        <v>45505</v>
      </c>
      <c r="C766" s="2">
        <v>792.42859999999996</v>
      </c>
      <c r="D766" t="s">
        <v>50</v>
      </c>
      <c r="E766">
        <v>2024</v>
      </c>
    </row>
    <row r="767" spans="1:5" x14ac:dyDescent="0.25">
      <c r="A767" t="s">
        <v>15</v>
      </c>
      <c r="B767" s="1">
        <v>45474</v>
      </c>
      <c r="C767" s="2">
        <v>745.52</v>
      </c>
      <c r="D767" t="s">
        <v>47</v>
      </c>
      <c r="E767">
        <v>2024</v>
      </c>
    </row>
    <row r="768" spans="1:5" x14ac:dyDescent="0.25">
      <c r="A768" t="s">
        <v>15</v>
      </c>
      <c r="B768" s="1">
        <v>45444</v>
      </c>
      <c r="C768" s="2">
        <v>704.46669999999995</v>
      </c>
      <c r="D768" t="s">
        <v>48</v>
      </c>
      <c r="E768">
        <v>2024</v>
      </c>
    </row>
    <row r="769" spans="1:5" hidden="1" x14ac:dyDescent="0.25">
      <c r="A769" t="s">
        <v>15</v>
      </c>
      <c r="B769" s="1">
        <v>45261</v>
      </c>
      <c r="C769" s="2">
        <v>659.375</v>
      </c>
      <c r="D769" t="s">
        <v>52</v>
      </c>
      <c r="E769">
        <v>2023</v>
      </c>
    </row>
    <row r="770" spans="1:5" x14ac:dyDescent="0.25">
      <c r="A770" t="s">
        <v>15</v>
      </c>
      <c r="B770" s="1">
        <v>45352</v>
      </c>
      <c r="C770" s="2">
        <v>657.15380000000005</v>
      </c>
      <c r="D770" t="s">
        <v>13</v>
      </c>
      <c r="E770">
        <v>2024</v>
      </c>
    </row>
    <row r="771" spans="1:5" x14ac:dyDescent="0.25">
      <c r="A771" t="s">
        <v>15</v>
      </c>
      <c r="B771" s="1">
        <v>45323</v>
      </c>
      <c r="C771" s="2">
        <v>653.70000000000005</v>
      </c>
      <c r="D771" t="s">
        <v>16</v>
      </c>
      <c r="E771">
        <v>2024</v>
      </c>
    </row>
    <row r="772" spans="1:5" x14ac:dyDescent="0.25">
      <c r="A772" t="s">
        <v>15</v>
      </c>
      <c r="B772" s="1">
        <v>45413</v>
      </c>
      <c r="C772" s="2">
        <v>642.16060000000004</v>
      </c>
      <c r="D772" t="s">
        <v>9</v>
      </c>
      <c r="E772">
        <v>2024</v>
      </c>
    </row>
    <row r="773" spans="1:5" hidden="1" x14ac:dyDescent="0.25">
      <c r="A773" t="s">
        <v>15</v>
      </c>
      <c r="B773" s="1">
        <v>45231</v>
      </c>
      <c r="C773" s="2">
        <v>639.20000000000005</v>
      </c>
      <c r="D773" t="s">
        <v>53</v>
      </c>
      <c r="E773">
        <v>2023</v>
      </c>
    </row>
    <row r="774" spans="1:5" hidden="1" x14ac:dyDescent="0.25">
      <c r="A774" t="s">
        <v>15</v>
      </c>
      <c r="B774" s="1">
        <v>45200</v>
      </c>
      <c r="C774" s="2">
        <v>637</v>
      </c>
      <c r="D774" t="s">
        <v>49</v>
      </c>
      <c r="E774">
        <v>2023</v>
      </c>
    </row>
    <row r="775" spans="1:5" hidden="1" x14ac:dyDescent="0.25">
      <c r="A775" t="s">
        <v>15</v>
      </c>
      <c r="B775" s="1">
        <v>45139</v>
      </c>
      <c r="C775" s="2">
        <v>634.55560000000003</v>
      </c>
      <c r="D775" t="s">
        <v>50</v>
      </c>
      <c r="E775">
        <v>2023</v>
      </c>
    </row>
    <row r="776" spans="1:5" x14ac:dyDescent="0.25">
      <c r="A776" t="s">
        <v>15</v>
      </c>
      <c r="B776" s="1">
        <v>45383</v>
      </c>
      <c r="C776" s="2">
        <v>633.75</v>
      </c>
      <c r="D776" t="s">
        <v>11</v>
      </c>
      <c r="E776">
        <v>2024</v>
      </c>
    </row>
    <row r="777" spans="1:5" hidden="1" x14ac:dyDescent="0.25">
      <c r="A777" t="s">
        <v>15</v>
      </c>
      <c r="B777" s="1">
        <v>45170</v>
      </c>
      <c r="C777" s="2">
        <v>632</v>
      </c>
      <c r="D777" t="s">
        <v>51</v>
      </c>
      <c r="E777">
        <v>2023</v>
      </c>
    </row>
    <row r="778" spans="1:5" x14ac:dyDescent="0.25">
      <c r="A778" t="s">
        <v>15</v>
      </c>
      <c r="B778" s="1">
        <v>45292</v>
      </c>
      <c r="C778" s="2">
        <v>624.03840000000002</v>
      </c>
      <c r="D778" t="s">
        <v>5</v>
      </c>
      <c r="E778">
        <v>2024</v>
      </c>
    </row>
    <row r="779" spans="1:5" hidden="1" x14ac:dyDescent="0.25">
      <c r="A779" t="s">
        <v>15</v>
      </c>
      <c r="B779" s="1">
        <v>45078</v>
      </c>
      <c r="C779" s="2">
        <v>545.55560000000003</v>
      </c>
      <c r="D779" t="s">
        <v>48</v>
      </c>
      <c r="E779">
        <v>2023</v>
      </c>
    </row>
    <row r="780" spans="1:5" hidden="1" x14ac:dyDescent="0.25">
      <c r="A780" t="s">
        <v>15</v>
      </c>
      <c r="B780" s="1">
        <v>45108</v>
      </c>
      <c r="C780" s="2">
        <v>542.1</v>
      </c>
      <c r="D780" t="s">
        <v>47</v>
      </c>
      <c r="E780">
        <v>2023</v>
      </c>
    </row>
    <row r="781" spans="1:5" hidden="1" x14ac:dyDescent="0.25">
      <c r="A781" t="s">
        <v>15</v>
      </c>
      <c r="B781" s="1">
        <v>45017</v>
      </c>
      <c r="C781" s="2">
        <v>282.5</v>
      </c>
      <c r="D781" t="s">
        <v>11</v>
      </c>
      <c r="E781">
        <v>2023</v>
      </c>
    </row>
    <row r="782" spans="1:5" hidden="1" x14ac:dyDescent="0.25">
      <c r="A782" t="s">
        <v>15</v>
      </c>
      <c r="B782" s="1">
        <v>44927</v>
      </c>
      <c r="C782" s="2">
        <v>213</v>
      </c>
      <c r="D782" t="s">
        <v>5</v>
      </c>
      <c r="E782">
        <v>2023</v>
      </c>
    </row>
    <row r="783" spans="1:5" hidden="1" x14ac:dyDescent="0.25">
      <c r="A783" t="s">
        <v>15</v>
      </c>
      <c r="B783" s="1">
        <v>45047</v>
      </c>
      <c r="C783" s="2">
        <v>201.81819999999999</v>
      </c>
      <c r="D783" t="s">
        <v>9</v>
      </c>
      <c r="E783">
        <v>2023</v>
      </c>
    </row>
    <row r="784" spans="1:5" hidden="1" x14ac:dyDescent="0.25">
      <c r="A784" t="s">
        <v>15</v>
      </c>
      <c r="B784" s="1">
        <v>44986</v>
      </c>
      <c r="C784" s="2">
        <v>198.5</v>
      </c>
      <c r="D784" t="s">
        <v>13</v>
      </c>
      <c r="E784">
        <v>2023</v>
      </c>
    </row>
    <row r="785" spans="1:5" hidden="1" x14ac:dyDescent="0.25">
      <c r="A785" t="s">
        <v>15</v>
      </c>
      <c r="B785" s="1">
        <v>44958</v>
      </c>
      <c r="C785" s="2">
        <v>198.5</v>
      </c>
      <c r="D785" t="s">
        <v>16</v>
      </c>
      <c r="E785">
        <v>2023</v>
      </c>
    </row>
    <row r="786" spans="1:5" hidden="1" x14ac:dyDescent="0.25">
      <c r="A786" t="s">
        <v>27</v>
      </c>
      <c r="B786" s="1">
        <v>45748</v>
      </c>
      <c r="C786" s="2">
        <v>1166.2384999999999</v>
      </c>
      <c r="D786" t="s">
        <v>11</v>
      </c>
      <c r="E786">
        <v>2025</v>
      </c>
    </row>
    <row r="787" spans="1:5" x14ac:dyDescent="0.25">
      <c r="A787" t="s">
        <v>27</v>
      </c>
      <c r="B787" s="1">
        <v>45566</v>
      </c>
      <c r="C787" s="2">
        <v>1161.1111000000001</v>
      </c>
      <c r="D787" t="s">
        <v>49</v>
      </c>
      <c r="E787">
        <v>2024</v>
      </c>
    </row>
    <row r="788" spans="1:5" x14ac:dyDescent="0.25">
      <c r="A788" t="s">
        <v>27</v>
      </c>
      <c r="B788" s="1">
        <v>45597</v>
      </c>
      <c r="C788" s="2">
        <v>1154.7367999999999</v>
      </c>
      <c r="D788" t="s">
        <v>53</v>
      </c>
      <c r="E788">
        <v>2024</v>
      </c>
    </row>
    <row r="789" spans="1:5" hidden="1" x14ac:dyDescent="0.25">
      <c r="A789" t="s">
        <v>27</v>
      </c>
      <c r="B789" s="1">
        <v>45717</v>
      </c>
      <c r="C789" s="2">
        <v>1143.7905000000001</v>
      </c>
      <c r="D789" t="s">
        <v>13</v>
      </c>
      <c r="E789">
        <v>2025</v>
      </c>
    </row>
    <row r="790" spans="1:5" hidden="1" x14ac:dyDescent="0.25">
      <c r="A790" t="s">
        <v>27</v>
      </c>
      <c r="B790" s="1">
        <v>45658</v>
      </c>
      <c r="C790" s="2">
        <v>1141.6667</v>
      </c>
      <c r="D790" t="s">
        <v>5</v>
      </c>
      <c r="E790">
        <v>2025</v>
      </c>
    </row>
    <row r="791" spans="1:5" x14ac:dyDescent="0.25">
      <c r="A791" t="s">
        <v>27</v>
      </c>
      <c r="B791" s="1">
        <v>45627</v>
      </c>
      <c r="C791" s="2">
        <v>1106.0667000000001</v>
      </c>
      <c r="D791" t="s">
        <v>52</v>
      </c>
      <c r="E791">
        <v>2024</v>
      </c>
    </row>
    <row r="792" spans="1:5" hidden="1" x14ac:dyDescent="0.25">
      <c r="A792" t="s">
        <v>27</v>
      </c>
      <c r="B792" s="1">
        <v>45689</v>
      </c>
      <c r="C792" s="2">
        <v>1105</v>
      </c>
      <c r="D792" t="s">
        <v>16</v>
      </c>
      <c r="E792">
        <v>2025</v>
      </c>
    </row>
    <row r="793" spans="1:5" x14ac:dyDescent="0.25">
      <c r="A793" t="s">
        <v>27</v>
      </c>
      <c r="B793" s="1">
        <v>45536</v>
      </c>
      <c r="C793" s="2">
        <v>1016.9231</v>
      </c>
      <c r="D793" t="s">
        <v>51</v>
      </c>
      <c r="E793">
        <v>2024</v>
      </c>
    </row>
    <row r="794" spans="1:5" x14ac:dyDescent="0.25">
      <c r="A794" t="s">
        <v>27</v>
      </c>
      <c r="B794" s="1">
        <v>45505</v>
      </c>
      <c r="C794" s="2">
        <v>865.88239999999996</v>
      </c>
      <c r="D794" t="s">
        <v>50</v>
      </c>
      <c r="E794">
        <v>2024</v>
      </c>
    </row>
    <row r="795" spans="1:5" hidden="1" x14ac:dyDescent="0.25">
      <c r="A795" t="s">
        <v>27</v>
      </c>
      <c r="B795" s="1">
        <v>45261</v>
      </c>
      <c r="C795" s="2">
        <v>776.5385</v>
      </c>
      <c r="D795" t="s">
        <v>52</v>
      </c>
      <c r="E795">
        <v>2023</v>
      </c>
    </row>
    <row r="796" spans="1:5" x14ac:dyDescent="0.25">
      <c r="A796" t="s">
        <v>27</v>
      </c>
      <c r="B796" s="1">
        <v>45474</v>
      </c>
      <c r="C796" s="2">
        <v>742.22220000000004</v>
      </c>
      <c r="D796" t="s">
        <v>47</v>
      </c>
      <c r="E796">
        <v>2024</v>
      </c>
    </row>
    <row r="797" spans="1:5" x14ac:dyDescent="0.25">
      <c r="A797" t="s">
        <v>27</v>
      </c>
      <c r="B797" s="1">
        <v>45413</v>
      </c>
      <c r="C797" s="2">
        <v>730</v>
      </c>
      <c r="D797" t="s">
        <v>9</v>
      </c>
      <c r="E797">
        <v>2024</v>
      </c>
    </row>
    <row r="798" spans="1:5" x14ac:dyDescent="0.25">
      <c r="A798" t="s">
        <v>27</v>
      </c>
      <c r="B798" s="1">
        <v>45444</v>
      </c>
      <c r="C798" s="2">
        <v>670.625</v>
      </c>
      <c r="D798" t="s">
        <v>48</v>
      </c>
      <c r="E798">
        <v>2024</v>
      </c>
    </row>
    <row r="799" spans="1:5" x14ac:dyDescent="0.25">
      <c r="A799" t="s">
        <v>27</v>
      </c>
      <c r="B799" s="1">
        <v>45292</v>
      </c>
      <c r="C799" s="2">
        <v>653.10530000000006</v>
      </c>
      <c r="D799" t="s">
        <v>5</v>
      </c>
      <c r="E799">
        <v>2024</v>
      </c>
    </row>
    <row r="800" spans="1:5" x14ac:dyDescent="0.25">
      <c r="A800" t="s">
        <v>27</v>
      </c>
      <c r="B800" s="1">
        <v>45352</v>
      </c>
      <c r="C800" s="2">
        <v>651.25</v>
      </c>
      <c r="D800" t="s">
        <v>13</v>
      </c>
      <c r="E800">
        <v>2024</v>
      </c>
    </row>
    <row r="801" spans="1:5" x14ac:dyDescent="0.25">
      <c r="A801" t="s">
        <v>27</v>
      </c>
      <c r="B801" s="1">
        <v>45323</v>
      </c>
      <c r="C801" s="2">
        <v>650.83330000000001</v>
      </c>
      <c r="D801" t="s">
        <v>16</v>
      </c>
      <c r="E801">
        <v>2024</v>
      </c>
    </row>
    <row r="802" spans="1:5" x14ac:dyDescent="0.25">
      <c r="A802" t="s">
        <v>27</v>
      </c>
      <c r="B802" s="1">
        <v>45383</v>
      </c>
      <c r="C802" s="2">
        <v>647.14290000000005</v>
      </c>
      <c r="D802" t="s">
        <v>11</v>
      </c>
      <c r="E802">
        <v>2024</v>
      </c>
    </row>
    <row r="803" spans="1:5" hidden="1" x14ac:dyDescent="0.25">
      <c r="A803" t="s">
        <v>27</v>
      </c>
      <c r="B803" s="1">
        <v>45200</v>
      </c>
      <c r="C803" s="2">
        <v>640.45450000000005</v>
      </c>
      <c r="D803" t="s">
        <v>49</v>
      </c>
      <c r="E803">
        <v>2023</v>
      </c>
    </row>
    <row r="804" spans="1:5" hidden="1" x14ac:dyDescent="0.25">
      <c r="A804" t="s">
        <v>27</v>
      </c>
      <c r="B804" s="1">
        <v>45231</v>
      </c>
      <c r="C804" s="2">
        <v>631.33330000000001</v>
      </c>
      <c r="D804" t="s">
        <v>53</v>
      </c>
      <c r="E804">
        <v>2023</v>
      </c>
    </row>
    <row r="805" spans="1:5" hidden="1" x14ac:dyDescent="0.25">
      <c r="A805" t="s">
        <v>27</v>
      </c>
      <c r="B805" s="1">
        <v>45170</v>
      </c>
      <c r="C805" s="2">
        <v>625.84209999999996</v>
      </c>
      <c r="D805" t="s">
        <v>51</v>
      </c>
      <c r="E805">
        <v>2023</v>
      </c>
    </row>
    <row r="806" spans="1:5" hidden="1" x14ac:dyDescent="0.25">
      <c r="A806" t="s">
        <v>27</v>
      </c>
      <c r="B806" s="1">
        <v>45139</v>
      </c>
      <c r="C806" s="2">
        <v>623.06669999999997</v>
      </c>
      <c r="D806" t="s">
        <v>50</v>
      </c>
      <c r="E806">
        <v>2023</v>
      </c>
    </row>
    <row r="807" spans="1:5" hidden="1" x14ac:dyDescent="0.25">
      <c r="A807" t="s">
        <v>27</v>
      </c>
      <c r="B807" s="1">
        <v>45108</v>
      </c>
      <c r="C807" s="2">
        <v>618.45830000000001</v>
      </c>
      <c r="D807" t="s">
        <v>47</v>
      </c>
      <c r="E807">
        <v>2023</v>
      </c>
    </row>
    <row r="808" spans="1:5" hidden="1" x14ac:dyDescent="0.25">
      <c r="A808" t="s">
        <v>27</v>
      </c>
      <c r="B808" s="1">
        <v>45078</v>
      </c>
      <c r="C808" s="2">
        <v>540.90909999999997</v>
      </c>
      <c r="D808" t="s">
        <v>48</v>
      </c>
      <c r="E808">
        <v>2023</v>
      </c>
    </row>
    <row r="809" spans="1:5" hidden="1" x14ac:dyDescent="0.25">
      <c r="A809" t="s">
        <v>27</v>
      </c>
      <c r="B809" s="1">
        <v>44958</v>
      </c>
      <c r="C809" s="2">
        <v>280.57139999999998</v>
      </c>
      <c r="D809" t="s">
        <v>16</v>
      </c>
      <c r="E809">
        <v>2023</v>
      </c>
    </row>
    <row r="810" spans="1:5" hidden="1" x14ac:dyDescent="0.25">
      <c r="A810" t="s">
        <v>27</v>
      </c>
      <c r="B810" s="1">
        <v>45017</v>
      </c>
      <c r="C810" s="2">
        <v>267.22219999999999</v>
      </c>
      <c r="D810" t="s">
        <v>11</v>
      </c>
      <c r="E810">
        <v>2023</v>
      </c>
    </row>
    <row r="811" spans="1:5" hidden="1" x14ac:dyDescent="0.25">
      <c r="A811" t="s">
        <v>27</v>
      </c>
      <c r="B811" s="1">
        <v>44986</v>
      </c>
      <c r="C811" s="2">
        <v>241.9</v>
      </c>
      <c r="D811" t="s">
        <v>13</v>
      </c>
      <c r="E811">
        <v>2023</v>
      </c>
    </row>
    <row r="812" spans="1:5" hidden="1" x14ac:dyDescent="0.25">
      <c r="A812" t="s">
        <v>27</v>
      </c>
      <c r="B812" s="1">
        <v>44927</v>
      </c>
      <c r="C812" s="2">
        <v>238.1481</v>
      </c>
      <c r="D812" t="s">
        <v>5</v>
      </c>
      <c r="E812">
        <v>2023</v>
      </c>
    </row>
    <row r="813" spans="1:5" hidden="1" x14ac:dyDescent="0.25">
      <c r="A813" t="s">
        <v>27</v>
      </c>
      <c r="B813" s="1">
        <v>45047</v>
      </c>
      <c r="C813" s="2">
        <v>212.69229999999999</v>
      </c>
      <c r="D813" t="s">
        <v>9</v>
      </c>
      <c r="E813">
        <v>2023</v>
      </c>
    </row>
    <row r="814" spans="1:5" x14ac:dyDescent="0.25">
      <c r="A814" t="s">
        <v>38</v>
      </c>
      <c r="B814" s="1">
        <v>45566</v>
      </c>
      <c r="C814" s="2">
        <v>1172.8570999999999</v>
      </c>
      <c r="D814" t="s">
        <v>49</v>
      </c>
      <c r="E814">
        <v>2024</v>
      </c>
    </row>
    <row r="815" spans="1:5" x14ac:dyDescent="0.25">
      <c r="A815" t="s">
        <v>38</v>
      </c>
      <c r="B815" s="1">
        <v>45597</v>
      </c>
      <c r="C815" s="2">
        <v>1155.5555999999999</v>
      </c>
      <c r="D815" t="s">
        <v>53</v>
      </c>
      <c r="E815">
        <v>2024</v>
      </c>
    </row>
    <row r="816" spans="1:5" hidden="1" x14ac:dyDescent="0.25">
      <c r="A816" t="s">
        <v>38</v>
      </c>
      <c r="B816" s="1">
        <v>45748</v>
      </c>
      <c r="C816" s="2">
        <v>1148.4227000000001</v>
      </c>
      <c r="D816" t="s">
        <v>11</v>
      </c>
      <c r="E816">
        <v>2025</v>
      </c>
    </row>
    <row r="817" spans="1:5" hidden="1" x14ac:dyDescent="0.25">
      <c r="A817" t="s">
        <v>38</v>
      </c>
      <c r="B817" s="1">
        <v>45658</v>
      </c>
      <c r="C817" s="2">
        <v>1141.7</v>
      </c>
      <c r="D817" t="s">
        <v>5</v>
      </c>
      <c r="E817">
        <v>2025</v>
      </c>
    </row>
    <row r="818" spans="1:5" x14ac:dyDescent="0.25">
      <c r="A818" t="s">
        <v>38</v>
      </c>
      <c r="B818" s="1">
        <v>45627</v>
      </c>
      <c r="C818" s="2">
        <v>1137.7778000000001</v>
      </c>
      <c r="D818" t="s">
        <v>52</v>
      </c>
      <c r="E818">
        <v>2024</v>
      </c>
    </row>
    <row r="819" spans="1:5" hidden="1" x14ac:dyDescent="0.25">
      <c r="A819" t="s">
        <v>38</v>
      </c>
      <c r="B819" s="1">
        <v>45717</v>
      </c>
      <c r="C819" s="2">
        <v>1099.6582000000001</v>
      </c>
      <c r="D819" t="s">
        <v>13</v>
      </c>
      <c r="E819">
        <v>2025</v>
      </c>
    </row>
    <row r="820" spans="1:5" x14ac:dyDescent="0.25">
      <c r="A820" t="s">
        <v>38</v>
      </c>
      <c r="B820" s="1">
        <v>45536</v>
      </c>
      <c r="C820" s="2">
        <v>1006.6667</v>
      </c>
      <c r="D820" t="s">
        <v>51</v>
      </c>
      <c r="E820">
        <v>2024</v>
      </c>
    </row>
    <row r="821" spans="1:5" hidden="1" x14ac:dyDescent="0.25">
      <c r="A821" t="s">
        <v>38</v>
      </c>
      <c r="B821" s="1">
        <v>45689</v>
      </c>
      <c r="C821" s="2">
        <v>1005.5571</v>
      </c>
      <c r="D821" t="s">
        <v>16</v>
      </c>
      <c r="E821">
        <v>2025</v>
      </c>
    </row>
    <row r="822" spans="1:5" x14ac:dyDescent="0.25">
      <c r="A822" t="s">
        <v>38</v>
      </c>
      <c r="B822" s="1">
        <v>45413</v>
      </c>
      <c r="C822" s="2">
        <v>882.66669999999999</v>
      </c>
      <c r="D822" t="s">
        <v>9</v>
      </c>
      <c r="E822">
        <v>2024</v>
      </c>
    </row>
    <row r="823" spans="1:5" x14ac:dyDescent="0.25">
      <c r="A823" t="s">
        <v>38</v>
      </c>
      <c r="B823" s="1">
        <v>45505</v>
      </c>
      <c r="C823" s="2">
        <v>846.66669999999999</v>
      </c>
      <c r="D823" t="s">
        <v>50</v>
      </c>
      <c r="E823">
        <v>2024</v>
      </c>
    </row>
    <row r="824" spans="1:5" x14ac:dyDescent="0.25">
      <c r="A824" t="s">
        <v>38</v>
      </c>
      <c r="B824" s="1">
        <v>45474</v>
      </c>
      <c r="C824" s="2">
        <v>776.92309999999998</v>
      </c>
      <c r="D824" t="s">
        <v>47</v>
      </c>
      <c r="E824">
        <v>2024</v>
      </c>
    </row>
    <row r="825" spans="1:5" x14ac:dyDescent="0.25">
      <c r="A825" t="s">
        <v>38</v>
      </c>
      <c r="B825" s="1">
        <v>45444</v>
      </c>
      <c r="C825" s="2">
        <v>747.85709999999995</v>
      </c>
      <c r="D825" t="s">
        <v>48</v>
      </c>
      <c r="E825">
        <v>2024</v>
      </c>
    </row>
    <row r="826" spans="1:5" x14ac:dyDescent="0.25">
      <c r="A826" t="s">
        <v>38</v>
      </c>
      <c r="B826" s="1">
        <v>45383</v>
      </c>
      <c r="C826" s="2">
        <v>671.25</v>
      </c>
      <c r="D826" t="s">
        <v>11</v>
      </c>
      <c r="E826">
        <v>2024</v>
      </c>
    </row>
    <row r="827" spans="1:5" x14ac:dyDescent="0.25">
      <c r="A827" t="s">
        <v>38</v>
      </c>
      <c r="B827" s="1">
        <v>45323</v>
      </c>
      <c r="C827" s="2">
        <v>666.25</v>
      </c>
      <c r="D827" t="s">
        <v>16</v>
      </c>
      <c r="E827">
        <v>2024</v>
      </c>
    </row>
    <row r="828" spans="1:5" x14ac:dyDescent="0.25">
      <c r="A828" t="s">
        <v>38</v>
      </c>
      <c r="B828" s="1">
        <v>45352</v>
      </c>
      <c r="C828" s="2">
        <v>663.84619999999995</v>
      </c>
      <c r="D828" t="s">
        <v>13</v>
      </c>
      <c r="E828">
        <v>2024</v>
      </c>
    </row>
    <row r="829" spans="1:5" x14ac:dyDescent="0.25">
      <c r="A829" t="s">
        <v>38</v>
      </c>
      <c r="B829" s="1">
        <v>45292</v>
      </c>
      <c r="C829" s="2">
        <v>653.01859999999999</v>
      </c>
      <c r="D829" t="s">
        <v>5</v>
      </c>
      <c r="E829">
        <v>2024</v>
      </c>
    </row>
    <row r="830" spans="1:5" hidden="1" x14ac:dyDescent="0.25">
      <c r="A830" t="s">
        <v>38</v>
      </c>
      <c r="B830" s="1">
        <v>45231</v>
      </c>
      <c r="C830" s="2">
        <v>650.58820000000003</v>
      </c>
      <c r="D830" t="s">
        <v>53</v>
      </c>
      <c r="E830">
        <v>2023</v>
      </c>
    </row>
    <row r="831" spans="1:5" hidden="1" x14ac:dyDescent="0.25">
      <c r="A831" t="s">
        <v>38</v>
      </c>
      <c r="B831" s="1">
        <v>45261</v>
      </c>
      <c r="C831" s="2">
        <v>644.0625</v>
      </c>
      <c r="D831" t="s">
        <v>52</v>
      </c>
      <c r="E831">
        <v>2023</v>
      </c>
    </row>
    <row r="832" spans="1:5" hidden="1" x14ac:dyDescent="0.25">
      <c r="A832" t="s">
        <v>38</v>
      </c>
      <c r="B832" s="1">
        <v>45139</v>
      </c>
      <c r="C832" s="2">
        <v>624.4</v>
      </c>
      <c r="D832" t="s">
        <v>50</v>
      </c>
      <c r="E832">
        <v>2023</v>
      </c>
    </row>
    <row r="833" spans="1:5" hidden="1" x14ac:dyDescent="0.25">
      <c r="A833" t="s">
        <v>38</v>
      </c>
      <c r="B833" s="1">
        <v>45170</v>
      </c>
      <c r="C833" s="2">
        <v>620.14290000000005</v>
      </c>
      <c r="D833" t="s">
        <v>51</v>
      </c>
      <c r="E833">
        <v>2023</v>
      </c>
    </row>
    <row r="834" spans="1:5" hidden="1" x14ac:dyDescent="0.25">
      <c r="A834" t="s">
        <v>38</v>
      </c>
      <c r="B834" s="1">
        <v>45108</v>
      </c>
      <c r="C834" s="2">
        <v>619.65</v>
      </c>
      <c r="D834" t="s">
        <v>47</v>
      </c>
      <c r="E834">
        <v>2023</v>
      </c>
    </row>
    <row r="835" spans="1:5" hidden="1" x14ac:dyDescent="0.25">
      <c r="A835" t="s">
        <v>38</v>
      </c>
      <c r="B835" s="1">
        <v>45200</v>
      </c>
      <c r="C835" s="2">
        <v>614.47059999999999</v>
      </c>
      <c r="D835" t="s">
        <v>49</v>
      </c>
      <c r="E835">
        <v>2023</v>
      </c>
    </row>
    <row r="836" spans="1:5" hidden="1" x14ac:dyDescent="0.25">
      <c r="A836" t="s">
        <v>38</v>
      </c>
      <c r="B836" s="1">
        <v>45078</v>
      </c>
      <c r="C836" s="2">
        <v>540.20000000000005</v>
      </c>
      <c r="D836" t="s">
        <v>48</v>
      </c>
      <c r="E836">
        <v>2023</v>
      </c>
    </row>
    <row r="837" spans="1:5" hidden="1" x14ac:dyDescent="0.25">
      <c r="A837" t="s">
        <v>38</v>
      </c>
      <c r="B837" s="1">
        <v>44958</v>
      </c>
      <c r="C837" s="2">
        <v>286.875</v>
      </c>
      <c r="D837" t="s">
        <v>16</v>
      </c>
      <c r="E837">
        <v>2023</v>
      </c>
    </row>
    <row r="838" spans="1:5" hidden="1" x14ac:dyDescent="0.25">
      <c r="A838" t="s">
        <v>38</v>
      </c>
      <c r="B838" s="1">
        <v>44927</v>
      </c>
      <c r="C838" s="2">
        <v>249.4444</v>
      </c>
      <c r="D838" t="s">
        <v>5</v>
      </c>
      <c r="E838">
        <v>2023</v>
      </c>
    </row>
    <row r="839" spans="1:5" hidden="1" x14ac:dyDescent="0.25">
      <c r="A839" t="s">
        <v>38</v>
      </c>
      <c r="B839" s="1">
        <v>45017</v>
      </c>
      <c r="C839" s="2">
        <v>241.66669999999999</v>
      </c>
      <c r="D839" t="s">
        <v>11</v>
      </c>
      <c r="E839">
        <v>2023</v>
      </c>
    </row>
    <row r="840" spans="1:5" hidden="1" x14ac:dyDescent="0.25">
      <c r="A840" t="s">
        <v>38</v>
      </c>
      <c r="B840" s="1">
        <v>44986</v>
      </c>
      <c r="C840" s="2">
        <v>241.33330000000001</v>
      </c>
      <c r="D840" t="s">
        <v>13</v>
      </c>
      <c r="E840">
        <v>2023</v>
      </c>
    </row>
    <row r="841" spans="1:5" hidden="1" x14ac:dyDescent="0.25">
      <c r="A841" t="s">
        <v>38</v>
      </c>
      <c r="B841" s="1">
        <v>45047</v>
      </c>
      <c r="C841" s="2">
        <v>232.75</v>
      </c>
      <c r="D841" t="s">
        <v>9</v>
      </c>
      <c r="E841">
        <v>2023</v>
      </c>
    </row>
    <row r="842" spans="1:5" x14ac:dyDescent="0.25">
      <c r="A842" t="s">
        <v>35</v>
      </c>
      <c r="B842" s="1">
        <v>45566</v>
      </c>
      <c r="C842" s="2">
        <v>1176.3158000000001</v>
      </c>
      <c r="D842" t="s">
        <v>49</v>
      </c>
      <c r="E842">
        <v>2024</v>
      </c>
    </row>
    <row r="843" spans="1:5" x14ac:dyDescent="0.25">
      <c r="A843" t="s">
        <v>35</v>
      </c>
      <c r="B843" s="1">
        <v>45597</v>
      </c>
      <c r="C843" s="2">
        <v>1171.875</v>
      </c>
      <c r="D843" t="s">
        <v>53</v>
      </c>
      <c r="E843">
        <v>2024</v>
      </c>
    </row>
    <row r="844" spans="1:5" x14ac:dyDescent="0.25">
      <c r="A844" t="s">
        <v>35</v>
      </c>
      <c r="B844" s="1">
        <v>45627</v>
      </c>
      <c r="C844" s="2">
        <v>1137.0588</v>
      </c>
      <c r="D844" t="s">
        <v>52</v>
      </c>
      <c r="E844">
        <v>2024</v>
      </c>
    </row>
    <row r="845" spans="1:5" hidden="1" x14ac:dyDescent="0.25">
      <c r="A845" t="s">
        <v>35</v>
      </c>
      <c r="B845" s="1">
        <v>45748</v>
      </c>
      <c r="C845" s="2">
        <v>1042.4927</v>
      </c>
      <c r="D845" t="s">
        <v>11</v>
      </c>
      <c r="E845">
        <v>2025</v>
      </c>
    </row>
    <row r="846" spans="1:5" x14ac:dyDescent="0.25">
      <c r="A846" t="s">
        <v>35</v>
      </c>
      <c r="B846" s="1">
        <v>45536</v>
      </c>
      <c r="C846" s="2">
        <v>1009.375</v>
      </c>
      <c r="D846" t="s">
        <v>51</v>
      </c>
      <c r="E846">
        <v>2024</v>
      </c>
    </row>
    <row r="847" spans="1:5" hidden="1" x14ac:dyDescent="0.25">
      <c r="A847" t="s">
        <v>35</v>
      </c>
      <c r="B847" s="1">
        <v>45717</v>
      </c>
      <c r="C847" s="2">
        <v>980</v>
      </c>
      <c r="D847" t="s">
        <v>13</v>
      </c>
      <c r="E847">
        <v>2025</v>
      </c>
    </row>
    <row r="848" spans="1:5" hidden="1" x14ac:dyDescent="0.25">
      <c r="A848" t="s">
        <v>35</v>
      </c>
      <c r="B848" s="1">
        <v>45689</v>
      </c>
      <c r="C848" s="2">
        <v>972.5</v>
      </c>
      <c r="D848" t="s">
        <v>16</v>
      </c>
      <c r="E848">
        <v>2025</v>
      </c>
    </row>
    <row r="849" spans="1:5" hidden="1" x14ac:dyDescent="0.25">
      <c r="A849" t="s">
        <v>35</v>
      </c>
      <c r="B849" s="1">
        <v>45658</v>
      </c>
      <c r="C849" s="2">
        <v>950</v>
      </c>
      <c r="D849" t="s">
        <v>5</v>
      </c>
      <c r="E849">
        <v>2025</v>
      </c>
    </row>
    <row r="850" spans="1:5" x14ac:dyDescent="0.25">
      <c r="A850" t="s">
        <v>35</v>
      </c>
      <c r="B850" s="1">
        <v>45505</v>
      </c>
      <c r="C850" s="2">
        <v>856.15380000000005</v>
      </c>
      <c r="D850" t="s">
        <v>50</v>
      </c>
      <c r="E850">
        <v>2024</v>
      </c>
    </row>
    <row r="851" spans="1:5" x14ac:dyDescent="0.25">
      <c r="A851" t="s">
        <v>35</v>
      </c>
      <c r="B851" s="1">
        <v>45474</v>
      </c>
      <c r="C851" s="2">
        <v>842.14290000000005</v>
      </c>
      <c r="D851" t="s">
        <v>47</v>
      </c>
      <c r="E851">
        <v>2024</v>
      </c>
    </row>
    <row r="852" spans="1:5" x14ac:dyDescent="0.25">
      <c r="A852" t="s">
        <v>35</v>
      </c>
      <c r="B852" s="1">
        <v>45413</v>
      </c>
      <c r="C852" s="2">
        <v>790.35709999999995</v>
      </c>
      <c r="D852" t="s">
        <v>9</v>
      </c>
      <c r="E852">
        <v>2024</v>
      </c>
    </row>
    <row r="853" spans="1:5" x14ac:dyDescent="0.25">
      <c r="A853" t="s">
        <v>35</v>
      </c>
      <c r="B853" s="1">
        <v>45383</v>
      </c>
      <c r="C853" s="2">
        <v>691</v>
      </c>
      <c r="D853" t="s">
        <v>11</v>
      </c>
      <c r="E853">
        <v>2024</v>
      </c>
    </row>
    <row r="854" spans="1:5" x14ac:dyDescent="0.25">
      <c r="A854" t="s">
        <v>35</v>
      </c>
      <c r="B854" s="1">
        <v>45444</v>
      </c>
      <c r="C854" s="2">
        <v>689.23080000000004</v>
      </c>
      <c r="D854" t="s">
        <v>48</v>
      </c>
      <c r="E854">
        <v>2024</v>
      </c>
    </row>
    <row r="855" spans="1:5" x14ac:dyDescent="0.25">
      <c r="A855" t="s">
        <v>35</v>
      </c>
      <c r="B855" s="1">
        <v>45352</v>
      </c>
      <c r="C855" s="2">
        <v>672.14290000000005</v>
      </c>
      <c r="D855" t="s">
        <v>13</v>
      </c>
      <c r="E855">
        <v>2024</v>
      </c>
    </row>
    <row r="856" spans="1:5" x14ac:dyDescent="0.25">
      <c r="A856" t="s">
        <v>35</v>
      </c>
      <c r="B856" s="1">
        <v>45323</v>
      </c>
      <c r="C856" s="2">
        <v>664.54549999999995</v>
      </c>
      <c r="D856" t="s">
        <v>16</v>
      </c>
      <c r="E856">
        <v>2024</v>
      </c>
    </row>
    <row r="857" spans="1:5" x14ac:dyDescent="0.25">
      <c r="A857" t="s">
        <v>35</v>
      </c>
      <c r="B857" s="1">
        <v>45292</v>
      </c>
      <c r="C857" s="2">
        <v>658.77189999999996</v>
      </c>
      <c r="D857" t="s">
        <v>5</v>
      </c>
      <c r="E857">
        <v>2024</v>
      </c>
    </row>
    <row r="858" spans="1:5" hidden="1" x14ac:dyDescent="0.25">
      <c r="A858" t="s">
        <v>35</v>
      </c>
      <c r="B858" s="1">
        <v>45200</v>
      </c>
      <c r="C858" s="2">
        <v>649.23080000000004</v>
      </c>
      <c r="D858" t="s">
        <v>49</v>
      </c>
      <c r="E858">
        <v>2023</v>
      </c>
    </row>
    <row r="859" spans="1:5" hidden="1" x14ac:dyDescent="0.25">
      <c r="A859" t="s">
        <v>35</v>
      </c>
      <c r="B859" s="1">
        <v>45231</v>
      </c>
      <c r="C859" s="2">
        <v>644.16669999999999</v>
      </c>
      <c r="D859" t="s">
        <v>53</v>
      </c>
      <c r="E859">
        <v>2023</v>
      </c>
    </row>
    <row r="860" spans="1:5" hidden="1" x14ac:dyDescent="0.25">
      <c r="A860" t="s">
        <v>35</v>
      </c>
      <c r="B860" s="1">
        <v>45261</v>
      </c>
      <c r="C860" s="2">
        <v>641.5385</v>
      </c>
      <c r="D860" t="s">
        <v>52</v>
      </c>
      <c r="E860">
        <v>2023</v>
      </c>
    </row>
    <row r="861" spans="1:5" hidden="1" x14ac:dyDescent="0.25">
      <c r="A861" t="s">
        <v>35</v>
      </c>
      <c r="B861" s="1">
        <v>45139</v>
      </c>
      <c r="C861" s="2">
        <v>636</v>
      </c>
      <c r="D861" t="s">
        <v>50</v>
      </c>
      <c r="E861">
        <v>2023</v>
      </c>
    </row>
    <row r="862" spans="1:5" hidden="1" x14ac:dyDescent="0.25">
      <c r="A862" t="s">
        <v>35</v>
      </c>
      <c r="B862" s="1">
        <v>45170</v>
      </c>
      <c r="C862" s="2">
        <v>627.07690000000002</v>
      </c>
      <c r="D862" t="s">
        <v>51</v>
      </c>
      <c r="E862">
        <v>2023</v>
      </c>
    </row>
    <row r="863" spans="1:5" hidden="1" x14ac:dyDescent="0.25">
      <c r="A863" t="s">
        <v>35</v>
      </c>
      <c r="B863" s="1">
        <v>45108</v>
      </c>
      <c r="C863" s="2">
        <v>610.45450000000005</v>
      </c>
      <c r="D863" t="s">
        <v>47</v>
      </c>
      <c r="E863">
        <v>2023</v>
      </c>
    </row>
    <row r="864" spans="1:5" hidden="1" x14ac:dyDescent="0.25">
      <c r="A864" t="s">
        <v>35</v>
      </c>
      <c r="B864" s="1">
        <v>45078</v>
      </c>
      <c r="C864" s="2">
        <v>540.13329999999996</v>
      </c>
      <c r="D864" t="s">
        <v>48</v>
      </c>
      <c r="E864">
        <v>2023</v>
      </c>
    </row>
    <row r="865" spans="1:5" hidden="1" x14ac:dyDescent="0.25">
      <c r="A865" t="s">
        <v>35</v>
      </c>
      <c r="B865" s="1">
        <v>44958</v>
      </c>
      <c r="C865" s="2">
        <v>302.5</v>
      </c>
      <c r="D865" t="s">
        <v>16</v>
      </c>
      <c r="E865">
        <v>2023</v>
      </c>
    </row>
    <row r="866" spans="1:5" hidden="1" x14ac:dyDescent="0.25">
      <c r="A866" t="s">
        <v>35</v>
      </c>
      <c r="B866" s="1">
        <v>44927</v>
      </c>
      <c r="C866" s="2">
        <v>262.125</v>
      </c>
      <c r="D866" t="s">
        <v>5</v>
      </c>
      <c r="E866">
        <v>2023</v>
      </c>
    </row>
    <row r="867" spans="1:5" hidden="1" x14ac:dyDescent="0.25">
      <c r="A867" t="s">
        <v>35</v>
      </c>
      <c r="B867" s="1">
        <v>45017</v>
      </c>
      <c r="C867" s="2">
        <v>251.875</v>
      </c>
      <c r="D867" t="s">
        <v>11</v>
      </c>
      <c r="E867">
        <v>2023</v>
      </c>
    </row>
    <row r="868" spans="1:5" hidden="1" x14ac:dyDescent="0.25">
      <c r="A868" t="s">
        <v>35</v>
      </c>
      <c r="B868" s="1">
        <v>44986</v>
      </c>
      <c r="C868" s="2">
        <v>248</v>
      </c>
      <c r="D868" t="s">
        <v>13</v>
      </c>
      <c r="E868">
        <v>2023</v>
      </c>
    </row>
    <row r="869" spans="1:5" hidden="1" x14ac:dyDescent="0.25">
      <c r="A869" t="s">
        <v>35</v>
      </c>
      <c r="B869" s="1">
        <v>45047</v>
      </c>
      <c r="C869" s="2">
        <v>226.18180000000001</v>
      </c>
      <c r="D869" t="s">
        <v>9</v>
      </c>
      <c r="E869">
        <v>2023</v>
      </c>
    </row>
    <row r="870" spans="1:5" x14ac:dyDescent="0.25">
      <c r="A870" t="s">
        <v>29</v>
      </c>
      <c r="B870" s="1">
        <v>45566</v>
      </c>
      <c r="C870" s="2">
        <v>1188.75</v>
      </c>
      <c r="D870" t="s">
        <v>49</v>
      </c>
      <c r="E870">
        <v>2024</v>
      </c>
    </row>
    <row r="871" spans="1:5" hidden="1" x14ac:dyDescent="0.25">
      <c r="A871" t="s">
        <v>29</v>
      </c>
      <c r="B871" s="1">
        <v>45748</v>
      </c>
      <c r="C871" s="2">
        <v>1183.7945</v>
      </c>
      <c r="D871" t="s">
        <v>11</v>
      </c>
      <c r="E871">
        <v>2025</v>
      </c>
    </row>
    <row r="872" spans="1:5" x14ac:dyDescent="0.25">
      <c r="A872" t="s">
        <v>29</v>
      </c>
      <c r="B872" s="1">
        <v>45597</v>
      </c>
      <c r="C872" s="2">
        <v>1166.3158000000001</v>
      </c>
      <c r="D872" t="s">
        <v>53</v>
      </c>
      <c r="E872">
        <v>2024</v>
      </c>
    </row>
    <row r="873" spans="1:5" x14ac:dyDescent="0.25">
      <c r="A873" t="s">
        <v>29</v>
      </c>
      <c r="B873" s="1">
        <v>45627</v>
      </c>
      <c r="C873" s="2">
        <v>1088.75</v>
      </c>
      <c r="D873" t="s">
        <v>52</v>
      </c>
      <c r="E873">
        <v>2024</v>
      </c>
    </row>
    <row r="874" spans="1:5" x14ac:dyDescent="0.25">
      <c r="A874" t="s">
        <v>29</v>
      </c>
      <c r="B874" s="1">
        <v>45536</v>
      </c>
      <c r="C874" s="2">
        <v>1076.1111000000001</v>
      </c>
      <c r="D874" t="s">
        <v>51</v>
      </c>
      <c r="E874">
        <v>2024</v>
      </c>
    </row>
    <row r="875" spans="1:5" hidden="1" x14ac:dyDescent="0.25">
      <c r="A875" t="s">
        <v>29</v>
      </c>
      <c r="B875" s="1">
        <v>45658</v>
      </c>
      <c r="C875" s="2">
        <v>1015</v>
      </c>
      <c r="D875" t="s">
        <v>5</v>
      </c>
      <c r="E875">
        <v>2025</v>
      </c>
    </row>
    <row r="876" spans="1:5" hidden="1" x14ac:dyDescent="0.25">
      <c r="A876" t="s">
        <v>29</v>
      </c>
      <c r="B876" s="1">
        <v>45717</v>
      </c>
      <c r="C876" s="2">
        <v>982</v>
      </c>
      <c r="D876" t="s">
        <v>13</v>
      </c>
      <c r="E876">
        <v>2025</v>
      </c>
    </row>
    <row r="877" spans="1:5" hidden="1" x14ac:dyDescent="0.25">
      <c r="A877" t="s">
        <v>29</v>
      </c>
      <c r="B877" s="1">
        <v>45689</v>
      </c>
      <c r="C877" s="2">
        <v>956.66669999999999</v>
      </c>
      <c r="D877" t="s">
        <v>16</v>
      </c>
      <c r="E877">
        <v>2025</v>
      </c>
    </row>
    <row r="878" spans="1:5" x14ac:dyDescent="0.25">
      <c r="A878" t="s">
        <v>29</v>
      </c>
      <c r="B878" s="1">
        <v>45505</v>
      </c>
      <c r="C878" s="2">
        <v>865.625</v>
      </c>
      <c r="D878" t="s">
        <v>50</v>
      </c>
      <c r="E878">
        <v>2024</v>
      </c>
    </row>
    <row r="879" spans="1:5" x14ac:dyDescent="0.25">
      <c r="A879" t="s">
        <v>29</v>
      </c>
      <c r="B879" s="1">
        <v>45474</v>
      </c>
      <c r="C879" s="2">
        <v>808.84619999999995</v>
      </c>
      <c r="D879" t="s">
        <v>47</v>
      </c>
      <c r="E879">
        <v>2024</v>
      </c>
    </row>
    <row r="880" spans="1:5" x14ac:dyDescent="0.25">
      <c r="A880" t="s">
        <v>29</v>
      </c>
      <c r="B880" s="1">
        <v>45413</v>
      </c>
      <c r="C880" s="2">
        <v>742.5</v>
      </c>
      <c r="D880" t="s">
        <v>9</v>
      </c>
      <c r="E880">
        <v>2024</v>
      </c>
    </row>
    <row r="881" spans="1:5" x14ac:dyDescent="0.25">
      <c r="A881" t="s">
        <v>29</v>
      </c>
      <c r="B881" s="1">
        <v>45444</v>
      </c>
      <c r="C881" s="2">
        <v>696.66669999999999</v>
      </c>
      <c r="D881" t="s">
        <v>48</v>
      </c>
      <c r="E881">
        <v>2024</v>
      </c>
    </row>
    <row r="882" spans="1:5" x14ac:dyDescent="0.25">
      <c r="A882" t="s">
        <v>29</v>
      </c>
      <c r="B882" s="1">
        <v>45292</v>
      </c>
      <c r="C882" s="2">
        <v>662.53290000000004</v>
      </c>
      <c r="D882" t="s">
        <v>5</v>
      </c>
      <c r="E882">
        <v>2024</v>
      </c>
    </row>
    <row r="883" spans="1:5" x14ac:dyDescent="0.25">
      <c r="A883" t="s">
        <v>29</v>
      </c>
      <c r="B883" s="1">
        <v>45383</v>
      </c>
      <c r="C883" s="2">
        <v>660.33330000000001</v>
      </c>
      <c r="D883" t="s">
        <v>11</v>
      </c>
      <c r="E883">
        <v>2024</v>
      </c>
    </row>
    <row r="884" spans="1:5" x14ac:dyDescent="0.25">
      <c r="A884" t="s">
        <v>29</v>
      </c>
      <c r="B884" s="1">
        <v>45323</v>
      </c>
      <c r="C884" s="2">
        <v>652.35289999999998</v>
      </c>
      <c r="D884" t="s">
        <v>16</v>
      </c>
      <c r="E884">
        <v>2024</v>
      </c>
    </row>
    <row r="885" spans="1:5" x14ac:dyDescent="0.25">
      <c r="A885" t="s">
        <v>29</v>
      </c>
      <c r="B885" s="1">
        <v>45352</v>
      </c>
      <c r="C885" s="2">
        <v>645.88239999999996</v>
      </c>
      <c r="D885" t="s">
        <v>13</v>
      </c>
      <c r="E885">
        <v>2024</v>
      </c>
    </row>
    <row r="886" spans="1:5" hidden="1" x14ac:dyDescent="0.25">
      <c r="A886" t="s">
        <v>29</v>
      </c>
      <c r="B886" s="1">
        <v>45231</v>
      </c>
      <c r="C886" s="2">
        <v>628.35709999999995</v>
      </c>
      <c r="D886" t="s">
        <v>53</v>
      </c>
      <c r="E886">
        <v>2023</v>
      </c>
    </row>
    <row r="887" spans="1:5" hidden="1" x14ac:dyDescent="0.25">
      <c r="A887" t="s">
        <v>29</v>
      </c>
      <c r="B887" s="1">
        <v>45261</v>
      </c>
      <c r="C887" s="2">
        <v>626.5625</v>
      </c>
      <c r="D887" t="s">
        <v>52</v>
      </c>
      <c r="E887">
        <v>2023</v>
      </c>
    </row>
    <row r="888" spans="1:5" hidden="1" x14ac:dyDescent="0.25">
      <c r="A888" t="s">
        <v>29</v>
      </c>
      <c r="B888" s="1">
        <v>45139</v>
      </c>
      <c r="C888" s="2">
        <v>621.79999999999995</v>
      </c>
      <c r="D888" t="s">
        <v>50</v>
      </c>
      <c r="E888">
        <v>2023</v>
      </c>
    </row>
    <row r="889" spans="1:5" hidden="1" x14ac:dyDescent="0.25">
      <c r="A889" t="s">
        <v>29</v>
      </c>
      <c r="B889" s="1">
        <v>45108</v>
      </c>
      <c r="C889" s="2">
        <v>619.81820000000005</v>
      </c>
      <c r="D889" t="s">
        <v>47</v>
      </c>
      <c r="E889">
        <v>2023</v>
      </c>
    </row>
    <row r="890" spans="1:5" hidden="1" x14ac:dyDescent="0.25">
      <c r="A890" t="s">
        <v>29</v>
      </c>
      <c r="B890" s="1">
        <v>45170</v>
      </c>
      <c r="C890" s="2">
        <v>618.5</v>
      </c>
      <c r="D890" t="s">
        <v>51</v>
      </c>
      <c r="E890">
        <v>2023</v>
      </c>
    </row>
    <row r="891" spans="1:5" hidden="1" x14ac:dyDescent="0.25">
      <c r="A891" t="s">
        <v>29</v>
      </c>
      <c r="B891" s="1">
        <v>45200</v>
      </c>
      <c r="C891" s="2">
        <v>592.1875</v>
      </c>
      <c r="D891" t="s">
        <v>49</v>
      </c>
      <c r="E891">
        <v>2023</v>
      </c>
    </row>
    <row r="892" spans="1:5" hidden="1" x14ac:dyDescent="0.25">
      <c r="A892" t="s">
        <v>29</v>
      </c>
      <c r="B892" s="1">
        <v>45078</v>
      </c>
      <c r="C892" s="2">
        <v>537.42859999999996</v>
      </c>
      <c r="D892" t="s">
        <v>48</v>
      </c>
      <c r="E892">
        <v>2023</v>
      </c>
    </row>
    <row r="893" spans="1:5" hidden="1" x14ac:dyDescent="0.25">
      <c r="A893" t="s">
        <v>29</v>
      </c>
      <c r="B893" s="1">
        <v>44958</v>
      </c>
      <c r="C893" s="2">
        <v>311.42860000000002</v>
      </c>
      <c r="D893" t="s">
        <v>16</v>
      </c>
      <c r="E893">
        <v>2023</v>
      </c>
    </row>
    <row r="894" spans="1:5" hidden="1" x14ac:dyDescent="0.25">
      <c r="A894" t="s">
        <v>29</v>
      </c>
      <c r="B894" s="1">
        <v>45017</v>
      </c>
      <c r="C894" s="2">
        <v>282.22219999999999</v>
      </c>
      <c r="D894" t="s">
        <v>11</v>
      </c>
      <c r="E894">
        <v>2023</v>
      </c>
    </row>
    <row r="895" spans="1:5" hidden="1" x14ac:dyDescent="0.25">
      <c r="A895" t="s">
        <v>29</v>
      </c>
      <c r="B895" s="1">
        <v>44927</v>
      </c>
      <c r="C895" s="2">
        <v>252.29169999999999</v>
      </c>
      <c r="D895" t="s">
        <v>5</v>
      </c>
      <c r="E895">
        <v>2023</v>
      </c>
    </row>
    <row r="896" spans="1:5" hidden="1" x14ac:dyDescent="0.25">
      <c r="A896" t="s">
        <v>29</v>
      </c>
      <c r="B896" s="1">
        <v>44986</v>
      </c>
      <c r="C896" s="2">
        <v>225.33330000000001</v>
      </c>
      <c r="D896" t="s">
        <v>13</v>
      </c>
      <c r="E896">
        <v>2023</v>
      </c>
    </row>
    <row r="897" spans="1:5" hidden="1" x14ac:dyDescent="0.25">
      <c r="A897" t="s">
        <v>29</v>
      </c>
      <c r="B897" s="1">
        <v>45047</v>
      </c>
      <c r="C897" s="2">
        <v>215.38460000000001</v>
      </c>
      <c r="D897" t="s">
        <v>9</v>
      </c>
      <c r="E897">
        <v>2023</v>
      </c>
    </row>
    <row r="898" spans="1:5" hidden="1" x14ac:dyDescent="0.25">
      <c r="A898" t="s">
        <v>6</v>
      </c>
      <c r="B898" s="1">
        <v>45717</v>
      </c>
      <c r="C898" s="2">
        <v>1450.7982</v>
      </c>
      <c r="D898" t="s">
        <v>13</v>
      </c>
      <c r="E898">
        <v>2025</v>
      </c>
    </row>
    <row r="899" spans="1:5" hidden="1" x14ac:dyDescent="0.25">
      <c r="A899" t="s">
        <v>6</v>
      </c>
      <c r="B899" s="1">
        <v>45689</v>
      </c>
      <c r="C899" s="2">
        <v>1446.9921999999999</v>
      </c>
      <c r="D899" t="s">
        <v>16</v>
      </c>
      <c r="E899">
        <v>2025</v>
      </c>
    </row>
    <row r="900" spans="1:5" hidden="1" x14ac:dyDescent="0.25">
      <c r="A900" t="s">
        <v>6</v>
      </c>
      <c r="B900" s="1">
        <v>45658</v>
      </c>
      <c r="C900" s="2">
        <v>1446.9921999999999</v>
      </c>
      <c r="D900" t="s">
        <v>5</v>
      </c>
      <c r="E900">
        <v>2025</v>
      </c>
    </row>
    <row r="901" spans="1:5" hidden="1" x14ac:dyDescent="0.25">
      <c r="A901" t="s">
        <v>6</v>
      </c>
      <c r="B901" s="1">
        <v>45748</v>
      </c>
      <c r="C901" s="2">
        <v>1302.5237999999999</v>
      </c>
      <c r="D901" t="s">
        <v>11</v>
      </c>
      <c r="E901">
        <v>2025</v>
      </c>
    </row>
    <row r="902" spans="1:5" x14ac:dyDescent="0.25">
      <c r="A902" t="s">
        <v>6</v>
      </c>
      <c r="B902" s="1">
        <v>45627</v>
      </c>
      <c r="C902" s="2">
        <v>1260</v>
      </c>
      <c r="D902" t="s">
        <v>52</v>
      </c>
      <c r="E902">
        <v>2024</v>
      </c>
    </row>
    <row r="903" spans="1:5" x14ac:dyDescent="0.25">
      <c r="A903" t="s">
        <v>6</v>
      </c>
      <c r="B903" s="1">
        <v>45597</v>
      </c>
      <c r="C903" s="2">
        <v>1227.5</v>
      </c>
      <c r="D903" t="s">
        <v>53</v>
      </c>
      <c r="E903">
        <v>2024</v>
      </c>
    </row>
    <row r="904" spans="1:5" x14ac:dyDescent="0.25">
      <c r="A904" t="s">
        <v>6</v>
      </c>
      <c r="B904" s="1">
        <v>45566</v>
      </c>
      <c r="C904" s="2">
        <v>1171.25</v>
      </c>
      <c r="D904" t="s">
        <v>49</v>
      </c>
      <c r="E904">
        <v>2024</v>
      </c>
    </row>
    <row r="905" spans="1:5" x14ac:dyDescent="0.25">
      <c r="A905" t="s">
        <v>6</v>
      </c>
      <c r="B905" s="1">
        <v>45536</v>
      </c>
      <c r="C905" s="2">
        <v>1073.1818000000001</v>
      </c>
      <c r="D905" t="s">
        <v>51</v>
      </c>
      <c r="E905">
        <v>2024</v>
      </c>
    </row>
    <row r="906" spans="1:5" x14ac:dyDescent="0.25">
      <c r="A906" t="s">
        <v>6</v>
      </c>
      <c r="B906" s="1">
        <v>45505</v>
      </c>
      <c r="C906" s="2">
        <v>876.15380000000005</v>
      </c>
      <c r="D906" t="s">
        <v>50</v>
      </c>
      <c r="E906">
        <v>2024</v>
      </c>
    </row>
    <row r="907" spans="1:5" x14ac:dyDescent="0.25">
      <c r="A907" t="s">
        <v>6</v>
      </c>
      <c r="B907" s="1">
        <v>45474</v>
      </c>
      <c r="C907" s="2">
        <v>782.41669999999999</v>
      </c>
      <c r="D907" t="s">
        <v>47</v>
      </c>
      <c r="E907">
        <v>2024</v>
      </c>
    </row>
    <row r="908" spans="1:5" x14ac:dyDescent="0.25">
      <c r="A908" t="s">
        <v>6</v>
      </c>
      <c r="B908" s="1">
        <v>45444</v>
      </c>
      <c r="C908" s="2">
        <v>719.72730000000001</v>
      </c>
      <c r="D908" t="s">
        <v>48</v>
      </c>
      <c r="E908">
        <v>2024</v>
      </c>
    </row>
    <row r="909" spans="1:5" x14ac:dyDescent="0.25">
      <c r="A909" t="s">
        <v>6</v>
      </c>
      <c r="B909" s="1">
        <v>45323</v>
      </c>
      <c r="C909" s="2">
        <v>686.16669999999999</v>
      </c>
      <c r="D909" t="s">
        <v>16</v>
      </c>
      <c r="E909">
        <v>2024</v>
      </c>
    </row>
    <row r="910" spans="1:5" x14ac:dyDescent="0.25">
      <c r="A910" t="s">
        <v>6</v>
      </c>
      <c r="B910" s="1">
        <v>45383</v>
      </c>
      <c r="C910" s="2">
        <v>685.28570000000002</v>
      </c>
      <c r="D910" t="s">
        <v>11</v>
      </c>
      <c r="E910">
        <v>2024</v>
      </c>
    </row>
    <row r="911" spans="1:5" x14ac:dyDescent="0.25">
      <c r="A911" t="s">
        <v>6</v>
      </c>
      <c r="B911" s="1">
        <v>45413</v>
      </c>
      <c r="C911" s="2">
        <v>675.93029999999999</v>
      </c>
      <c r="D911" t="s">
        <v>9</v>
      </c>
      <c r="E911">
        <v>2024</v>
      </c>
    </row>
    <row r="912" spans="1:5" x14ac:dyDescent="0.25">
      <c r="A912" t="s">
        <v>6</v>
      </c>
      <c r="B912" s="1">
        <v>45292</v>
      </c>
      <c r="C912" s="2">
        <v>670</v>
      </c>
      <c r="D912" t="s">
        <v>5</v>
      </c>
      <c r="E912">
        <v>2024</v>
      </c>
    </row>
    <row r="913" spans="1:5" x14ac:dyDescent="0.25">
      <c r="A913" t="s">
        <v>6</v>
      </c>
      <c r="B913" s="1">
        <v>45352</v>
      </c>
      <c r="C913" s="2">
        <v>662.26880000000006</v>
      </c>
      <c r="D913" t="s">
        <v>13</v>
      </c>
      <c r="E913">
        <v>2024</v>
      </c>
    </row>
    <row r="914" spans="1:5" hidden="1" x14ac:dyDescent="0.25">
      <c r="A914" t="s">
        <v>6</v>
      </c>
      <c r="B914" s="1">
        <v>45261</v>
      </c>
      <c r="C914" s="2">
        <v>649.25</v>
      </c>
      <c r="D914" t="s">
        <v>52</v>
      </c>
      <c r="E914">
        <v>2023</v>
      </c>
    </row>
    <row r="915" spans="1:5" hidden="1" x14ac:dyDescent="0.25">
      <c r="A915" t="s">
        <v>6</v>
      </c>
      <c r="B915" s="1">
        <v>45231</v>
      </c>
      <c r="C915" s="2">
        <v>644.5</v>
      </c>
      <c r="D915" t="s">
        <v>53</v>
      </c>
      <c r="E915">
        <v>2023</v>
      </c>
    </row>
    <row r="916" spans="1:5" hidden="1" x14ac:dyDescent="0.25">
      <c r="A916" t="s">
        <v>6</v>
      </c>
      <c r="B916" s="1">
        <v>45200</v>
      </c>
      <c r="C916" s="2">
        <v>627.57140000000004</v>
      </c>
      <c r="D916" t="s">
        <v>49</v>
      </c>
      <c r="E916">
        <v>2023</v>
      </c>
    </row>
    <row r="917" spans="1:5" hidden="1" x14ac:dyDescent="0.25">
      <c r="A917" t="s">
        <v>6</v>
      </c>
      <c r="B917" s="1">
        <v>45170</v>
      </c>
      <c r="C917" s="2">
        <v>623.86329999999998</v>
      </c>
      <c r="D917" t="s">
        <v>51</v>
      </c>
      <c r="E917">
        <v>2023</v>
      </c>
    </row>
    <row r="918" spans="1:5" hidden="1" x14ac:dyDescent="0.25">
      <c r="A918" t="s">
        <v>6</v>
      </c>
      <c r="B918" s="1">
        <v>45139</v>
      </c>
      <c r="C918" s="2">
        <v>623.83330000000001</v>
      </c>
      <c r="D918" t="s">
        <v>50</v>
      </c>
      <c r="E918">
        <v>2023</v>
      </c>
    </row>
    <row r="919" spans="1:5" hidden="1" x14ac:dyDescent="0.25">
      <c r="A919" t="s">
        <v>6</v>
      </c>
      <c r="B919" s="1">
        <v>45078</v>
      </c>
      <c r="C919" s="2">
        <v>543</v>
      </c>
      <c r="D919" t="s">
        <v>48</v>
      </c>
      <c r="E919">
        <v>2023</v>
      </c>
    </row>
    <row r="920" spans="1:5" hidden="1" x14ac:dyDescent="0.25">
      <c r="A920" t="s">
        <v>6</v>
      </c>
      <c r="B920" s="1">
        <v>45108</v>
      </c>
      <c r="C920" s="2">
        <v>537</v>
      </c>
      <c r="D920" t="s">
        <v>47</v>
      </c>
      <c r="E920">
        <v>2023</v>
      </c>
    </row>
    <row r="921" spans="1:5" hidden="1" x14ac:dyDescent="0.25">
      <c r="A921" t="s">
        <v>6</v>
      </c>
      <c r="B921" s="1">
        <v>45017</v>
      </c>
      <c r="C921" s="2">
        <v>232.5</v>
      </c>
      <c r="D921" t="s">
        <v>11</v>
      </c>
      <c r="E921">
        <v>2023</v>
      </c>
    </row>
    <row r="922" spans="1:5" hidden="1" x14ac:dyDescent="0.25">
      <c r="A922" t="s">
        <v>6</v>
      </c>
      <c r="B922" s="1">
        <v>45047</v>
      </c>
      <c r="C922" s="2">
        <v>203.33330000000001</v>
      </c>
      <c r="D922" t="s">
        <v>9</v>
      </c>
      <c r="E922">
        <v>2023</v>
      </c>
    </row>
    <row r="923" spans="1:5" hidden="1" x14ac:dyDescent="0.25">
      <c r="A923" t="s">
        <v>6</v>
      </c>
      <c r="B923" s="1">
        <v>44958</v>
      </c>
      <c r="C923" s="2">
        <v>198.71430000000001</v>
      </c>
      <c r="D923" t="s">
        <v>16</v>
      </c>
      <c r="E923">
        <v>2023</v>
      </c>
    </row>
    <row r="924" spans="1:5" hidden="1" x14ac:dyDescent="0.25">
      <c r="A924" t="s">
        <v>6</v>
      </c>
      <c r="B924" s="1">
        <v>44986</v>
      </c>
      <c r="C924" s="2">
        <v>196.78569999999999</v>
      </c>
      <c r="D924" t="s">
        <v>13</v>
      </c>
      <c r="E924">
        <v>2023</v>
      </c>
    </row>
    <row r="925" spans="1:5" hidden="1" x14ac:dyDescent="0.25">
      <c r="A925" t="s">
        <v>6</v>
      </c>
      <c r="B925" s="1">
        <v>44927</v>
      </c>
      <c r="C925" s="2">
        <v>192.1429</v>
      </c>
      <c r="D925" t="s">
        <v>5</v>
      </c>
      <c r="E925">
        <v>2023</v>
      </c>
    </row>
    <row r="926" spans="1:5" hidden="1" x14ac:dyDescent="0.25">
      <c r="A926" t="s">
        <v>21</v>
      </c>
      <c r="B926" s="1">
        <v>45658</v>
      </c>
      <c r="C926" s="2">
        <v>1308.8888999999999</v>
      </c>
      <c r="D926" t="s">
        <v>5</v>
      </c>
      <c r="E926">
        <v>2025</v>
      </c>
    </row>
    <row r="927" spans="1:5" hidden="1" x14ac:dyDescent="0.25">
      <c r="A927" t="s">
        <v>21</v>
      </c>
      <c r="B927" s="1">
        <v>45748</v>
      </c>
      <c r="C927" s="2">
        <v>1263.9821999999999</v>
      </c>
      <c r="D927" t="s">
        <v>11</v>
      </c>
      <c r="E927">
        <v>2025</v>
      </c>
    </row>
    <row r="928" spans="1:5" x14ac:dyDescent="0.25">
      <c r="A928" t="s">
        <v>21</v>
      </c>
      <c r="B928" s="1">
        <v>45597</v>
      </c>
      <c r="C928" s="2">
        <v>1257.7778000000001</v>
      </c>
      <c r="D928" t="s">
        <v>53</v>
      </c>
      <c r="E928">
        <v>2024</v>
      </c>
    </row>
    <row r="929" spans="1:5" hidden="1" x14ac:dyDescent="0.25">
      <c r="A929" t="s">
        <v>21</v>
      </c>
      <c r="B929" s="1">
        <v>45717</v>
      </c>
      <c r="C929" s="2">
        <v>1175.5442</v>
      </c>
      <c r="D929" t="s">
        <v>13</v>
      </c>
      <c r="E929">
        <v>2025</v>
      </c>
    </row>
    <row r="930" spans="1:5" x14ac:dyDescent="0.25">
      <c r="A930" t="s">
        <v>21</v>
      </c>
      <c r="B930" s="1">
        <v>45627</v>
      </c>
      <c r="C930" s="2">
        <v>1164.9061999999999</v>
      </c>
      <c r="D930" t="s">
        <v>52</v>
      </c>
      <c r="E930">
        <v>2024</v>
      </c>
    </row>
    <row r="931" spans="1:5" x14ac:dyDescent="0.25">
      <c r="A931" t="s">
        <v>21</v>
      </c>
      <c r="B931" s="1">
        <v>45566</v>
      </c>
      <c r="C931" s="2">
        <v>1154.2727</v>
      </c>
      <c r="D931" t="s">
        <v>49</v>
      </c>
      <c r="E931">
        <v>2024</v>
      </c>
    </row>
    <row r="932" spans="1:5" hidden="1" x14ac:dyDescent="0.25">
      <c r="A932" t="s">
        <v>21</v>
      </c>
      <c r="B932" s="1">
        <v>45689</v>
      </c>
      <c r="C932" s="2">
        <v>1131.1111000000001</v>
      </c>
      <c r="D932" t="s">
        <v>16</v>
      </c>
      <c r="E932">
        <v>2025</v>
      </c>
    </row>
    <row r="933" spans="1:5" x14ac:dyDescent="0.25">
      <c r="A933" t="s">
        <v>21</v>
      </c>
      <c r="B933" s="1">
        <v>45536</v>
      </c>
      <c r="C933" s="2">
        <v>1045</v>
      </c>
      <c r="D933" t="s">
        <v>51</v>
      </c>
      <c r="E933">
        <v>2024</v>
      </c>
    </row>
    <row r="934" spans="1:5" x14ac:dyDescent="0.25">
      <c r="A934" t="s">
        <v>21</v>
      </c>
      <c r="B934" s="1">
        <v>45444</v>
      </c>
      <c r="C934" s="2">
        <v>810</v>
      </c>
      <c r="D934" t="s">
        <v>48</v>
      </c>
      <c r="E934">
        <v>2024</v>
      </c>
    </row>
    <row r="935" spans="1:5" x14ac:dyDescent="0.25">
      <c r="A935" t="s">
        <v>21</v>
      </c>
      <c r="B935" s="1">
        <v>45413</v>
      </c>
      <c r="C935" s="2">
        <v>782.72730000000001</v>
      </c>
      <c r="D935" t="s">
        <v>9</v>
      </c>
      <c r="E935">
        <v>2024</v>
      </c>
    </row>
    <row r="936" spans="1:5" x14ac:dyDescent="0.25">
      <c r="A936" t="s">
        <v>21</v>
      </c>
      <c r="B936" s="1">
        <v>45352</v>
      </c>
      <c r="C936" s="2">
        <v>710.90909999999997</v>
      </c>
      <c r="D936" t="s">
        <v>13</v>
      </c>
      <c r="E936">
        <v>2024</v>
      </c>
    </row>
    <row r="937" spans="1:5" x14ac:dyDescent="0.25">
      <c r="A937" t="s">
        <v>21</v>
      </c>
      <c r="B937" s="1">
        <v>45383</v>
      </c>
      <c r="C937" s="2">
        <v>696</v>
      </c>
      <c r="D937" t="s">
        <v>11</v>
      </c>
      <c r="E937">
        <v>2024</v>
      </c>
    </row>
    <row r="938" spans="1:5" x14ac:dyDescent="0.25">
      <c r="A938" t="s">
        <v>21</v>
      </c>
      <c r="B938" s="1">
        <v>45505</v>
      </c>
      <c r="C938" s="2">
        <v>685.45450000000005</v>
      </c>
      <c r="D938" t="s">
        <v>50</v>
      </c>
      <c r="E938">
        <v>2024</v>
      </c>
    </row>
    <row r="939" spans="1:5" x14ac:dyDescent="0.25">
      <c r="A939" t="s">
        <v>21</v>
      </c>
      <c r="B939" s="1">
        <v>45474</v>
      </c>
      <c r="C939" s="2">
        <v>684.54549999999995</v>
      </c>
      <c r="D939" t="s">
        <v>47</v>
      </c>
      <c r="E939">
        <v>2024</v>
      </c>
    </row>
    <row r="940" spans="1:5" x14ac:dyDescent="0.25">
      <c r="A940" t="s">
        <v>21</v>
      </c>
      <c r="B940" s="1">
        <v>45323</v>
      </c>
      <c r="C940" s="2">
        <v>680</v>
      </c>
      <c r="D940" t="s">
        <v>16</v>
      </c>
      <c r="E940">
        <v>2024</v>
      </c>
    </row>
    <row r="941" spans="1:5" hidden="1" x14ac:dyDescent="0.25">
      <c r="A941" t="s">
        <v>21</v>
      </c>
      <c r="B941" s="1">
        <v>45261</v>
      </c>
      <c r="C941" s="2">
        <v>676.66669999999999</v>
      </c>
      <c r="D941" t="s">
        <v>52</v>
      </c>
      <c r="E941">
        <v>2023</v>
      </c>
    </row>
    <row r="942" spans="1:5" x14ac:dyDescent="0.25">
      <c r="A942" t="s">
        <v>21</v>
      </c>
      <c r="B942" s="1">
        <v>45292</v>
      </c>
      <c r="C942" s="2">
        <v>674.54549999999995</v>
      </c>
      <c r="D942" t="s">
        <v>5</v>
      </c>
      <c r="E942">
        <v>2024</v>
      </c>
    </row>
    <row r="943" spans="1:5" hidden="1" x14ac:dyDescent="0.25">
      <c r="A943" t="s">
        <v>21</v>
      </c>
      <c r="B943" s="1">
        <v>45231</v>
      </c>
      <c r="C943" s="2">
        <v>663.88890000000004</v>
      </c>
      <c r="D943" t="s">
        <v>53</v>
      </c>
      <c r="E943">
        <v>2023</v>
      </c>
    </row>
    <row r="944" spans="1:5" hidden="1" x14ac:dyDescent="0.25">
      <c r="A944" t="s">
        <v>21</v>
      </c>
      <c r="B944" s="1">
        <v>45200</v>
      </c>
      <c r="C944" s="2">
        <v>628.27269999999999</v>
      </c>
      <c r="D944" t="s">
        <v>49</v>
      </c>
      <c r="E944">
        <v>2023</v>
      </c>
    </row>
    <row r="945" spans="1:5" hidden="1" x14ac:dyDescent="0.25">
      <c r="A945" t="s">
        <v>21</v>
      </c>
      <c r="B945" s="1">
        <v>45108</v>
      </c>
      <c r="C945" s="2">
        <v>607.66669999999999</v>
      </c>
      <c r="D945" t="s">
        <v>47</v>
      </c>
      <c r="E945">
        <v>2023</v>
      </c>
    </row>
    <row r="946" spans="1:5" hidden="1" x14ac:dyDescent="0.25">
      <c r="A946" t="s">
        <v>21</v>
      </c>
      <c r="B946" s="1">
        <v>45170</v>
      </c>
      <c r="C946" s="2">
        <v>602.54549999999995</v>
      </c>
      <c r="D946" t="s">
        <v>51</v>
      </c>
      <c r="E946">
        <v>2023</v>
      </c>
    </row>
    <row r="947" spans="1:5" hidden="1" x14ac:dyDescent="0.25">
      <c r="A947" t="s">
        <v>21</v>
      </c>
      <c r="B947" s="1">
        <v>45139</v>
      </c>
      <c r="C947" s="2">
        <v>596.79999999999995</v>
      </c>
      <c r="D947" t="s">
        <v>50</v>
      </c>
      <c r="E947">
        <v>2023</v>
      </c>
    </row>
    <row r="948" spans="1:5" hidden="1" x14ac:dyDescent="0.25">
      <c r="A948" t="s">
        <v>21</v>
      </c>
      <c r="B948" s="1">
        <v>45078</v>
      </c>
      <c r="C948" s="2">
        <v>537.63639999999998</v>
      </c>
      <c r="D948" t="s">
        <v>48</v>
      </c>
      <c r="E948">
        <v>2023</v>
      </c>
    </row>
    <row r="949" spans="1:5" hidden="1" x14ac:dyDescent="0.25">
      <c r="A949" t="s">
        <v>21</v>
      </c>
      <c r="B949" s="1">
        <v>44927</v>
      </c>
      <c r="C949" s="2">
        <v>327.1429</v>
      </c>
      <c r="D949" t="s">
        <v>5</v>
      </c>
      <c r="E949">
        <v>2023</v>
      </c>
    </row>
    <row r="950" spans="1:5" hidden="1" x14ac:dyDescent="0.25">
      <c r="A950" t="s">
        <v>21</v>
      </c>
      <c r="B950" s="1">
        <v>44958</v>
      </c>
      <c r="C950" s="2">
        <v>323.33330000000001</v>
      </c>
      <c r="D950" t="s">
        <v>16</v>
      </c>
      <c r="E950">
        <v>2023</v>
      </c>
    </row>
    <row r="951" spans="1:5" hidden="1" x14ac:dyDescent="0.25">
      <c r="A951" t="s">
        <v>21</v>
      </c>
      <c r="B951" s="1">
        <v>44986</v>
      </c>
      <c r="C951" s="2">
        <v>290.88889999999998</v>
      </c>
      <c r="D951" t="s">
        <v>13</v>
      </c>
      <c r="E951">
        <v>2023</v>
      </c>
    </row>
    <row r="952" spans="1:5" hidden="1" x14ac:dyDescent="0.25">
      <c r="A952" t="s">
        <v>21</v>
      </c>
      <c r="B952" s="1">
        <v>45047</v>
      </c>
      <c r="C952" s="2">
        <v>250.41669999999999</v>
      </c>
      <c r="D952" t="s">
        <v>9</v>
      </c>
      <c r="E952">
        <v>2023</v>
      </c>
    </row>
    <row r="953" spans="1:5" hidden="1" x14ac:dyDescent="0.25">
      <c r="A953" t="s">
        <v>21</v>
      </c>
      <c r="B953" s="1">
        <v>45017</v>
      </c>
      <c r="C953" s="2">
        <v>207.71430000000001</v>
      </c>
      <c r="D953" t="s">
        <v>11</v>
      </c>
      <c r="E953">
        <v>2023</v>
      </c>
    </row>
    <row r="954" spans="1:5" hidden="1" x14ac:dyDescent="0.25">
      <c r="A954" t="s">
        <v>4</v>
      </c>
      <c r="B954" s="1">
        <v>45689</v>
      </c>
      <c r="C954" s="2">
        <v>1680</v>
      </c>
      <c r="D954" t="s">
        <v>16</v>
      </c>
      <c r="E954">
        <v>2025</v>
      </c>
    </row>
    <row r="955" spans="1:5" hidden="1" x14ac:dyDescent="0.25">
      <c r="A955" t="s">
        <v>4</v>
      </c>
      <c r="B955" s="1">
        <v>45748</v>
      </c>
      <c r="C955" s="2">
        <v>1550</v>
      </c>
      <c r="D955" t="s">
        <v>11</v>
      </c>
      <c r="E955">
        <v>2025</v>
      </c>
    </row>
    <row r="956" spans="1:5" hidden="1" x14ac:dyDescent="0.25">
      <c r="A956" t="s">
        <v>4</v>
      </c>
      <c r="B956" s="1">
        <v>45717</v>
      </c>
      <c r="C956" s="2">
        <v>1550</v>
      </c>
      <c r="D956" t="s">
        <v>13</v>
      </c>
      <c r="E956">
        <v>2025</v>
      </c>
    </row>
    <row r="957" spans="1:5" hidden="1" x14ac:dyDescent="0.25">
      <c r="A957" t="s">
        <v>4</v>
      </c>
      <c r="B957" s="1">
        <v>45658</v>
      </c>
      <c r="C957" s="2">
        <v>1330</v>
      </c>
      <c r="D957" t="s">
        <v>5</v>
      </c>
      <c r="E957">
        <v>2025</v>
      </c>
    </row>
    <row r="958" spans="1:5" x14ac:dyDescent="0.25">
      <c r="A958" t="s">
        <v>4</v>
      </c>
      <c r="B958" s="1">
        <v>45597</v>
      </c>
      <c r="C958" s="2">
        <v>1162.8570999999999</v>
      </c>
      <c r="D958" t="s">
        <v>53</v>
      </c>
      <c r="E958">
        <v>2024</v>
      </c>
    </row>
    <row r="959" spans="1:5" x14ac:dyDescent="0.25">
      <c r="A959" t="s">
        <v>4</v>
      </c>
      <c r="B959" s="1">
        <v>45627</v>
      </c>
      <c r="C959" s="2">
        <v>1113.3333</v>
      </c>
      <c r="D959" t="s">
        <v>52</v>
      </c>
      <c r="E959">
        <v>2024</v>
      </c>
    </row>
    <row r="960" spans="1:5" x14ac:dyDescent="0.25">
      <c r="A960" t="s">
        <v>4</v>
      </c>
      <c r="B960" s="1">
        <v>45566</v>
      </c>
      <c r="C960" s="2">
        <v>1110</v>
      </c>
      <c r="D960" t="s">
        <v>49</v>
      </c>
      <c r="E960">
        <v>2024</v>
      </c>
    </row>
    <row r="961" spans="1:5" x14ac:dyDescent="0.25">
      <c r="A961" t="s">
        <v>4</v>
      </c>
      <c r="B961" s="1">
        <v>45536</v>
      </c>
      <c r="C961" s="2">
        <v>961.66669999999999</v>
      </c>
      <c r="D961" t="s">
        <v>51</v>
      </c>
      <c r="E961">
        <v>2024</v>
      </c>
    </row>
    <row r="962" spans="1:5" x14ac:dyDescent="0.25">
      <c r="A962" t="s">
        <v>4</v>
      </c>
      <c r="B962" s="1">
        <v>45413</v>
      </c>
      <c r="C962" s="2">
        <v>872.5</v>
      </c>
      <c r="D962" t="s">
        <v>9</v>
      </c>
      <c r="E962">
        <v>2024</v>
      </c>
    </row>
    <row r="963" spans="1:5" x14ac:dyDescent="0.25">
      <c r="A963" t="s">
        <v>4</v>
      </c>
      <c r="B963" s="1">
        <v>45505</v>
      </c>
      <c r="C963" s="2">
        <v>855.71429999999998</v>
      </c>
      <c r="D963" t="s">
        <v>50</v>
      </c>
      <c r="E963">
        <v>2024</v>
      </c>
    </row>
    <row r="964" spans="1:5" x14ac:dyDescent="0.25">
      <c r="A964" t="s">
        <v>4</v>
      </c>
      <c r="B964" s="1">
        <v>45474</v>
      </c>
      <c r="C964" s="2">
        <v>750</v>
      </c>
      <c r="D964" t="s">
        <v>47</v>
      </c>
      <c r="E964">
        <v>2024</v>
      </c>
    </row>
    <row r="965" spans="1:5" x14ac:dyDescent="0.25">
      <c r="A965" t="s">
        <v>4</v>
      </c>
      <c r="B965" s="1">
        <v>45444</v>
      </c>
      <c r="C965" s="2">
        <v>723.33330000000001</v>
      </c>
      <c r="D965" t="s">
        <v>48</v>
      </c>
      <c r="E965">
        <v>2024</v>
      </c>
    </row>
    <row r="966" spans="1:5" x14ac:dyDescent="0.25">
      <c r="A966" t="s">
        <v>4</v>
      </c>
      <c r="B966" s="1">
        <v>45352</v>
      </c>
      <c r="C966" s="2">
        <v>715</v>
      </c>
      <c r="D966" t="s">
        <v>13</v>
      </c>
      <c r="E966">
        <v>2024</v>
      </c>
    </row>
    <row r="967" spans="1:5" x14ac:dyDescent="0.25">
      <c r="A967" t="s">
        <v>4</v>
      </c>
      <c r="B967" s="1">
        <v>45383</v>
      </c>
      <c r="C967" s="2">
        <v>713.33330000000001</v>
      </c>
      <c r="D967" t="s">
        <v>11</v>
      </c>
      <c r="E967">
        <v>2024</v>
      </c>
    </row>
    <row r="968" spans="1:5" x14ac:dyDescent="0.25">
      <c r="A968" t="s">
        <v>4</v>
      </c>
      <c r="B968" s="1">
        <v>45323</v>
      </c>
      <c r="C968" s="2">
        <v>681.42859999999996</v>
      </c>
      <c r="D968" t="s">
        <v>16</v>
      </c>
      <c r="E968">
        <v>2024</v>
      </c>
    </row>
    <row r="969" spans="1:5" hidden="1" x14ac:dyDescent="0.25">
      <c r="A969" t="s">
        <v>4</v>
      </c>
      <c r="B969" s="1">
        <v>45261</v>
      </c>
      <c r="C969" s="2">
        <v>678.57140000000004</v>
      </c>
      <c r="D969" t="s">
        <v>52</v>
      </c>
      <c r="E969">
        <v>2023</v>
      </c>
    </row>
    <row r="970" spans="1:5" x14ac:dyDescent="0.25">
      <c r="A970" t="s">
        <v>4</v>
      </c>
      <c r="B970" s="1">
        <v>45292</v>
      </c>
      <c r="C970" s="2">
        <v>664.8</v>
      </c>
      <c r="D970" t="s">
        <v>5</v>
      </c>
      <c r="E970">
        <v>2024</v>
      </c>
    </row>
    <row r="971" spans="1:5" hidden="1" x14ac:dyDescent="0.25">
      <c r="A971" t="s">
        <v>4</v>
      </c>
      <c r="B971" s="1">
        <v>45231</v>
      </c>
      <c r="C971" s="2">
        <v>641.42859999999996</v>
      </c>
      <c r="D971" t="s">
        <v>53</v>
      </c>
      <c r="E971">
        <v>2023</v>
      </c>
    </row>
    <row r="972" spans="1:5" hidden="1" x14ac:dyDescent="0.25">
      <c r="A972" t="s">
        <v>4</v>
      </c>
      <c r="B972" s="1">
        <v>45200</v>
      </c>
      <c r="C972" s="2">
        <v>638.33330000000001</v>
      </c>
      <c r="D972" t="s">
        <v>49</v>
      </c>
      <c r="E972">
        <v>2023</v>
      </c>
    </row>
    <row r="973" spans="1:5" hidden="1" x14ac:dyDescent="0.25">
      <c r="A973" t="s">
        <v>4</v>
      </c>
      <c r="B973" s="1">
        <v>45139</v>
      </c>
      <c r="C973" s="2">
        <v>631.42859999999996</v>
      </c>
      <c r="D973" t="s">
        <v>50</v>
      </c>
      <c r="E973">
        <v>2023</v>
      </c>
    </row>
    <row r="974" spans="1:5" hidden="1" x14ac:dyDescent="0.25">
      <c r="A974" t="s">
        <v>4</v>
      </c>
      <c r="B974" s="1">
        <v>45170</v>
      </c>
      <c r="C974" s="2">
        <v>628.28570000000002</v>
      </c>
      <c r="D974" t="s">
        <v>51</v>
      </c>
      <c r="E974">
        <v>2023</v>
      </c>
    </row>
    <row r="975" spans="1:5" hidden="1" x14ac:dyDescent="0.25">
      <c r="A975" t="s">
        <v>4</v>
      </c>
      <c r="B975" s="1">
        <v>45108</v>
      </c>
      <c r="C975" s="2">
        <v>621.14290000000005</v>
      </c>
      <c r="D975" t="s">
        <v>47</v>
      </c>
      <c r="E975">
        <v>2023</v>
      </c>
    </row>
    <row r="976" spans="1:5" hidden="1" x14ac:dyDescent="0.25">
      <c r="A976" t="s">
        <v>4</v>
      </c>
      <c r="B976" s="1">
        <v>45078</v>
      </c>
      <c r="C976" s="2">
        <v>540</v>
      </c>
      <c r="D976" t="s">
        <v>48</v>
      </c>
      <c r="E976">
        <v>2023</v>
      </c>
    </row>
    <row r="977" spans="1:5" hidden="1" x14ac:dyDescent="0.25">
      <c r="A977" t="s">
        <v>4</v>
      </c>
      <c r="B977" s="1">
        <v>45017</v>
      </c>
      <c r="C977" s="2">
        <v>227.69229999999999</v>
      </c>
      <c r="D977" t="s">
        <v>11</v>
      </c>
      <c r="E977">
        <v>2023</v>
      </c>
    </row>
    <row r="978" spans="1:5" hidden="1" x14ac:dyDescent="0.25">
      <c r="A978" t="s">
        <v>4</v>
      </c>
      <c r="B978" s="1">
        <v>44986</v>
      </c>
      <c r="C978" s="2">
        <v>208.57140000000001</v>
      </c>
      <c r="D978" t="s">
        <v>13</v>
      </c>
      <c r="E978">
        <v>2023</v>
      </c>
    </row>
    <row r="979" spans="1:5" hidden="1" x14ac:dyDescent="0.25">
      <c r="A979" t="s">
        <v>4</v>
      </c>
      <c r="B979" s="1">
        <v>45047</v>
      </c>
      <c r="C979" s="2">
        <v>203.66669999999999</v>
      </c>
      <c r="D979" t="s">
        <v>9</v>
      </c>
      <c r="E979">
        <v>2023</v>
      </c>
    </row>
    <row r="980" spans="1:5" hidden="1" x14ac:dyDescent="0.25">
      <c r="A980" t="s">
        <v>4</v>
      </c>
      <c r="B980" s="1">
        <v>44958</v>
      </c>
      <c r="C980" s="2">
        <v>200</v>
      </c>
      <c r="D980" t="s">
        <v>16</v>
      </c>
      <c r="E980">
        <v>2023</v>
      </c>
    </row>
    <row r="981" spans="1:5" hidden="1" x14ac:dyDescent="0.25">
      <c r="A981" t="s">
        <v>4</v>
      </c>
      <c r="B981" s="1">
        <v>44927</v>
      </c>
      <c r="C981" s="2">
        <v>191.42859999999999</v>
      </c>
      <c r="D981" t="s">
        <v>5</v>
      </c>
      <c r="E981">
        <v>2023</v>
      </c>
    </row>
    <row r="982" spans="1:5" hidden="1" x14ac:dyDescent="0.25">
      <c r="A982" t="s">
        <v>37</v>
      </c>
      <c r="B982" s="1">
        <v>45658</v>
      </c>
      <c r="C982" s="2">
        <v>1433.3333</v>
      </c>
      <c r="D982" t="s">
        <v>5</v>
      </c>
      <c r="E982">
        <v>2025</v>
      </c>
    </row>
    <row r="983" spans="1:5" hidden="1" x14ac:dyDescent="0.25">
      <c r="A983" t="s">
        <v>37</v>
      </c>
      <c r="B983" s="1">
        <v>45689</v>
      </c>
      <c r="C983" s="2">
        <v>1366.6667</v>
      </c>
      <c r="D983" t="s">
        <v>16</v>
      </c>
      <c r="E983">
        <v>2025</v>
      </c>
    </row>
    <row r="984" spans="1:5" hidden="1" x14ac:dyDescent="0.25">
      <c r="A984" t="s">
        <v>37</v>
      </c>
      <c r="B984" s="1">
        <v>45717</v>
      </c>
      <c r="C984" s="2">
        <v>1353.9532999999999</v>
      </c>
      <c r="D984" t="s">
        <v>13</v>
      </c>
      <c r="E984">
        <v>2025</v>
      </c>
    </row>
    <row r="985" spans="1:5" x14ac:dyDescent="0.25">
      <c r="A985" t="s">
        <v>37</v>
      </c>
      <c r="B985" s="1">
        <v>45627</v>
      </c>
      <c r="C985" s="2">
        <v>1307.0499</v>
      </c>
      <c r="D985" t="s">
        <v>52</v>
      </c>
      <c r="E985">
        <v>2024</v>
      </c>
    </row>
    <row r="986" spans="1:5" hidden="1" x14ac:dyDescent="0.25">
      <c r="A986" t="s">
        <v>37</v>
      </c>
      <c r="B986" s="1">
        <v>45748</v>
      </c>
      <c r="C986" s="2">
        <v>1256.386</v>
      </c>
      <c r="D986" t="s">
        <v>11</v>
      </c>
      <c r="E986">
        <v>2025</v>
      </c>
    </row>
    <row r="987" spans="1:5" x14ac:dyDescent="0.25">
      <c r="A987" t="s">
        <v>37</v>
      </c>
      <c r="B987" s="1">
        <v>45597</v>
      </c>
      <c r="C987" s="2">
        <v>1256.3614</v>
      </c>
      <c r="D987" t="s">
        <v>53</v>
      </c>
      <c r="E987">
        <v>2024</v>
      </c>
    </row>
    <row r="988" spans="1:5" x14ac:dyDescent="0.25">
      <c r="A988" t="s">
        <v>37</v>
      </c>
      <c r="B988" s="1">
        <v>45566</v>
      </c>
      <c r="C988" s="2">
        <v>1243.9018000000001</v>
      </c>
      <c r="D988" t="s">
        <v>49</v>
      </c>
      <c r="E988">
        <v>2024</v>
      </c>
    </row>
    <row r="989" spans="1:5" x14ac:dyDescent="0.25">
      <c r="A989" t="s">
        <v>37</v>
      </c>
      <c r="B989" s="1">
        <v>45536</v>
      </c>
      <c r="C989" s="2">
        <v>1027.4444000000001</v>
      </c>
      <c r="D989" t="s">
        <v>51</v>
      </c>
      <c r="E989">
        <v>2024</v>
      </c>
    </row>
    <row r="990" spans="1:5" x14ac:dyDescent="0.25">
      <c r="A990" t="s">
        <v>37</v>
      </c>
      <c r="B990" s="1">
        <v>45505</v>
      </c>
      <c r="C990" s="2">
        <v>899.67139999999995</v>
      </c>
      <c r="D990" t="s">
        <v>50</v>
      </c>
      <c r="E990">
        <v>2024</v>
      </c>
    </row>
    <row r="991" spans="1:5" x14ac:dyDescent="0.25">
      <c r="A991" t="s">
        <v>37</v>
      </c>
      <c r="B991" s="1">
        <v>45474</v>
      </c>
      <c r="C991" s="2">
        <v>826.54549999999995</v>
      </c>
      <c r="D991" t="s">
        <v>47</v>
      </c>
      <c r="E991">
        <v>2024</v>
      </c>
    </row>
    <row r="992" spans="1:5" x14ac:dyDescent="0.25">
      <c r="A992" t="s">
        <v>37</v>
      </c>
      <c r="B992" s="1">
        <v>45413</v>
      </c>
      <c r="C992" s="2">
        <v>818.375</v>
      </c>
      <c r="D992" t="s">
        <v>9</v>
      </c>
      <c r="E992">
        <v>2024</v>
      </c>
    </row>
    <row r="993" spans="1:5" x14ac:dyDescent="0.25">
      <c r="A993" t="s">
        <v>37</v>
      </c>
      <c r="B993" s="1">
        <v>45352</v>
      </c>
      <c r="C993" s="2">
        <v>761.91859999999997</v>
      </c>
      <c r="D993" t="s">
        <v>13</v>
      </c>
      <c r="E993">
        <v>2024</v>
      </c>
    </row>
    <row r="994" spans="1:5" hidden="1" x14ac:dyDescent="0.25">
      <c r="A994" t="s">
        <v>37</v>
      </c>
      <c r="B994" s="1">
        <v>45261</v>
      </c>
      <c r="C994" s="2">
        <v>760</v>
      </c>
      <c r="D994" t="s">
        <v>52</v>
      </c>
      <c r="E994">
        <v>2023</v>
      </c>
    </row>
    <row r="995" spans="1:5" x14ac:dyDescent="0.25">
      <c r="A995" t="s">
        <v>37</v>
      </c>
      <c r="B995" s="1">
        <v>45444</v>
      </c>
      <c r="C995" s="2">
        <v>751.88890000000004</v>
      </c>
      <c r="D995" t="s">
        <v>48</v>
      </c>
      <c r="E995">
        <v>2024</v>
      </c>
    </row>
    <row r="996" spans="1:5" x14ac:dyDescent="0.25">
      <c r="A996" t="s">
        <v>37</v>
      </c>
      <c r="B996" s="1">
        <v>45383</v>
      </c>
      <c r="C996" s="2">
        <v>751.88890000000004</v>
      </c>
      <c r="D996" t="s">
        <v>11</v>
      </c>
      <c r="E996">
        <v>2024</v>
      </c>
    </row>
    <row r="997" spans="1:5" x14ac:dyDescent="0.25">
      <c r="A997" t="s">
        <v>37</v>
      </c>
      <c r="B997" s="1">
        <v>45323</v>
      </c>
      <c r="C997" s="2">
        <v>710.56</v>
      </c>
      <c r="D997" t="s">
        <v>16</v>
      </c>
      <c r="E997">
        <v>2024</v>
      </c>
    </row>
    <row r="998" spans="1:5" x14ac:dyDescent="0.25">
      <c r="A998" t="s">
        <v>37</v>
      </c>
      <c r="B998" s="1">
        <v>45292</v>
      </c>
      <c r="C998" s="2">
        <v>704.11109999999996</v>
      </c>
      <c r="D998" t="s">
        <v>5</v>
      </c>
      <c r="E998">
        <v>2024</v>
      </c>
    </row>
    <row r="999" spans="1:5" hidden="1" x14ac:dyDescent="0.25">
      <c r="A999" t="s">
        <v>37</v>
      </c>
      <c r="B999" s="1">
        <v>45139</v>
      </c>
      <c r="C999" s="2">
        <v>680</v>
      </c>
      <c r="D999" t="s">
        <v>50</v>
      </c>
      <c r="E999">
        <v>2023</v>
      </c>
    </row>
    <row r="1000" spans="1:5" hidden="1" x14ac:dyDescent="0.25">
      <c r="A1000" t="s">
        <v>37</v>
      </c>
      <c r="B1000" s="1">
        <v>45170</v>
      </c>
      <c r="C1000" s="2">
        <v>665.55560000000003</v>
      </c>
      <c r="D1000" t="s">
        <v>51</v>
      </c>
      <c r="E1000">
        <v>2023</v>
      </c>
    </row>
    <row r="1001" spans="1:5" hidden="1" x14ac:dyDescent="0.25">
      <c r="A1001" t="s">
        <v>37</v>
      </c>
      <c r="B1001" s="1">
        <v>45200</v>
      </c>
      <c r="C1001" s="2">
        <v>639</v>
      </c>
      <c r="D1001" t="s">
        <v>49</v>
      </c>
      <c r="E1001">
        <v>2023</v>
      </c>
    </row>
    <row r="1002" spans="1:5" hidden="1" x14ac:dyDescent="0.25">
      <c r="A1002" t="s">
        <v>37</v>
      </c>
      <c r="B1002" s="1">
        <v>45231</v>
      </c>
      <c r="C1002" s="2">
        <v>618</v>
      </c>
      <c r="D1002" t="s">
        <v>53</v>
      </c>
      <c r="E1002">
        <v>2023</v>
      </c>
    </row>
    <row r="1003" spans="1:5" hidden="1" x14ac:dyDescent="0.25">
      <c r="A1003" t="s">
        <v>37</v>
      </c>
      <c r="B1003" s="1">
        <v>45108</v>
      </c>
      <c r="C1003" s="2">
        <v>610</v>
      </c>
      <c r="D1003" t="s">
        <v>47</v>
      </c>
      <c r="E1003">
        <v>2023</v>
      </c>
    </row>
    <row r="1004" spans="1:5" hidden="1" x14ac:dyDescent="0.25">
      <c r="A1004" t="s">
        <v>37</v>
      </c>
      <c r="B1004" s="1">
        <v>45078</v>
      </c>
      <c r="C1004" s="2">
        <v>562.85709999999995</v>
      </c>
      <c r="D1004" t="s">
        <v>48</v>
      </c>
      <c r="E1004">
        <v>2023</v>
      </c>
    </row>
    <row r="1005" spans="1:5" hidden="1" x14ac:dyDescent="0.25">
      <c r="A1005" t="s">
        <v>37</v>
      </c>
      <c r="B1005" s="1">
        <v>44986</v>
      </c>
      <c r="C1005" s="2">
        <v>330</v>
      </c>
      <c r="D1005" t="s">
        <v>13</v>
      </c>
      <c r="E1005">
        <v>2023</v>
      </c>
    </row>
    <row r="1006" spans="1:5" hidden="1" x14ac:dyDescent="0.25">
      <c r="A1006" t="s">
        <v>37</v>
      </c>
      <c r="B1006" s="1">
        <v>45047</v>
      </c>
      <c r="C1006" s="2">
        <v>295</v>
      </c>
      <c r="D1006" t="s">
        <v>9</v>
      </c>
      <c r="E1006">
        <v>2023</v>
      </c>
    </row>
    <row r="1007" spans="1:5" hidden="1" x14ac:dyDescent="0.25">
      <c r="A1007" t="s">
        <v>37</v>
      </c>
      <c r="B1007" s="1">
        <v>44958</v>
      </c>
      <c r="C1007" s="2">
        <v>258.88889999999998</v>
      </c>
      <c r="D1007" t="s">
        <v>16</v>
      </c>
      <c r="E1007">
        <v>2023</v>
      </c>
    </row>
    <row r="1008" spans="1:5" hidden="1" x14ac:dyDescent="0.25">
      <c r="A1008" t="s">
        <v>37</v>
      </c>
      <c r="B1008" s="1">
        <v>44927</v>
      </c>
      <c r="C1008" s="2">
        <v>258.88889999999998</v>
      </c>
      <c r="D1008" t="s">
        <v>5</v>
      </c>
      <c r="E1008">
        <v>2023</v>
      </c>
    </row>
    <row r="1009" spans="1:5" hidden="1" x14ac:dyDescent="0.25">
      <c r="A1009" t="s">
        <v>37</v>
      </c>
      <c r="B1009" s="1">
        <v>45017</v>
      </c>
      <c r="C1009" s="2">
        <v>231.0625</v>
      </c>
      <c r="D1009" t="s">
        <v>11</v>
      </c>
      <c r="E1009">
        <v>2023</v>
      </c>
    </row>
    <row r="1010" spans="1:5" x14ac:dyDescent="0.25">
      <c r="A1010" t="s">
        <v>17</v>
      </c>
      <c r="B1010" s="1">
        <v>45627</v>
      </c>
      <c r="C1010" s="2">
        <v>1225</v>
      </c>
      <c r="D1010" t="s">
        <v>52</v>
      </c>
      <c r="E1010">
        <v>2024</v>
      </c>
    </row>
    <row r="1011" spans="1:5" x14ac:dyDescent="0.25">
      <c r="A1011" t="s">
        <v>17</v>
      </c>
      <c r="B1011" s="1">
        <v>45597</v>
      </c>
      <c r="C1011" s="2">
        <v>1222.7273</v>
      </c>
      <c r="D1011" t="s">
        <v>53</v>
      </c>
      <c r="E1011">
        <v>2024</v>
      </c>
    </row>
    <row r="1012" spans="1:5" x14ac:dyDescent="0.25">
      <c r="A1012" t="s">
        <v>17</v>
      </c>
      <c r="B1012" s="1">
        <v>45566</v>
      </c>
      <c r="C1012" s="2">
        <v>1180.0962</v>
      </c>
      <c r="D1012" t="s">
        <v>49</v>
      </c>
      <c r="E1012">
        <v>2024</v>
      </c>
    </row>
    <row r="1013" spans="1:5" hidden="1" x14ac:dyDescent="0.25">
      <c r="A1013" t="s">
        <v>17</v>
      </c>
      <c r="B1013" s="1">
        <v>45717</v>
      </c>
      <c r="C1013" s="2">
        <v>1114.1143999999999</v>
      </c>
      <c r="D1013" t="s">
        <v>13</v>
      </c>
      <c r="E1013">
        <v>2025</v>
      </c>
    </row>
    <row r="1014" spans="1:5" hidden="1" x14ac:dyDescent="0.25">
      <c r="A1014" t="s">
        <v>17</v>
      </c>
      <c r="B1014" s="1">
        <v>45658</v>
      </c>
      <c r="C1014" s="2">
        <v>1112.5</v>
      </c>
      <c r="D1014" t="s">
        <v>5</v>
      </c>
      <c r="E1014">
        <v>2025</v>
      </c>
    </row>
    <row r="1015" spans="1:5" hidden="1" x14ac:dyDescent="0.25">
      <c r="A1015" t="s">
        <v>17</v>
      </c>
      <c r="B1015" s="1">
        <v>45689</v>
      </c>
      <c r="C1015" s="2">
        <v>1075</v>
      </c>
      <c r="D1015" t="s">
        <v>16</v>
      </c>
      <c r="E1015">
        <v>2025</v>
      </c>
    </row>
    <row r="1016" spans="1:5" hidden="1" x14ac:dyDescent="0.25">
      <c r="A1016" t="s">
        <v>17</v>
      </c>
      <c r="B1016" s="1">
        <v>45748</v>
      </c>
      <c r="C1016" s="2">
        <v>970</v>
      </c>
      <c r="D1016" t="s">
        <v>11</v>
      </c>
      <c r="E1016">
        <v>2025</v>
      </c>
    </row>
    <row r="1017" spans="1:5" x14ac:dyDescent="0.25">
      <c r="A1017" t="s">
        <v>17</v>
      </c>
      <c r="B1017" s="1">
        <v>45536</v>
      </c>
      <c r="C1017" s="2">
        <v>939.375</v>
      </c>
      <c r="D1017" t="s">
        <v>51</v>
      </c>
      <c r="E1017">
        <v>2024</v>
      </c>
    </row>
    <row r="1018" spans="1:5" x14ac:dyDescent="0.25">
      <c r="A1018" t="s">
        <v>17</v>
      </c>
      <c r="B1018" s="1">
        <v>45505</v>
      </c>
      <c r="C1018" s="2">
        <v>916</v>
      </c>
      <c r="D1018" t="s">
        <v>50</v>
      </c>
      <c r="E1018">
        <v>2024</v>
      </c>
    </row>
    <row r="1019" spans="1:5" x14ac:dyDescent="0.25">
      <c r="A1019" t="s">
        <v>17</v>
      </c>
      <c r="B1019" s="1">
        <v>45474</v>
      </c>
      <c r="C1019" s="2">
        <v>800.88160000000005</v>
      </c>
      <c r="D1019" t="s">
        <v>47</v>
      </c>
      <c r="E1019">
        <v>2024</v>
      </c>
    </row>
    <row r="1020" spans="1:5" x14ac:dyDescent="0.25">
      <c r="A1020" t="s">
        <v>17</v>
      </c>
      <c r="B1020" s="1">
        <v>45413</v>
      </c>
      <c r="C1020" s="2">
        <v>784.625</v>
      </c>
      <c r="D1020" t="s">
        <v>9</v>
      </c>
      <c r="E1020">
        <v>2024</v>
      </c>
    </row>
    <row r="1021" spans="1:5" x14ac:dyDescent="0.25">
      <c r="A1021" t="s">
        <v>17</v>
      </c>
      <c r="B1021" s="1">
        <v>45352</v>
      </c>
      <c r="C1021" s="2">
        <v>749.08860000000004</v>
      </c>
      <c r="D1021" t="s">
        <v>13</v>
      </c>
      <c r="E1021">
        <v>2024</v>
      </c>
    </row>
    <row r="1022" spans="1:5" x14ac:dyDescent="0.25">
      <c r="A1022" t="s">
        <v>17</v>
      </c>
      <c r="B1022" s="1">
        <v>45444</v>
      </c>
      <c r="C1022" s="2">
        <v>735</v>
      </c>
      <c r="D1022" t="s">
        <v>48</v>
      </c>
      <c r="E1022">
        <v>2024</v>
      </c>
    </row>
    <row r="1023" spans="1:5" x14ac:dyDescent="0.25">
      <c r="A1023" t="s">
        <v>17</v>
      </c>
      <c r="B1023" s="1">
        <v>45383</v>
      </c>
      <c r="C1023" s="2">
        <v>735</v>
      </c>
      <c r="D1023" t="s">
        <v>11</v>
      </c>
      <c r="E1023">
        <v>2024</v>
      </c>
    </row>
    <row r="1024" spans="1:5" hidden="1" x14ac:dyDescent="0.25">
      <c r="A1024" t="s">
        <v>17</v>
      </c>
      <c r="B1024" s="1">
        <v>45261</v>
      </c>
      <c r="C1024" s="2">
        <v>692.18179999999995</v>
      </c>
      <c r="D1024" t="s">
        <v>52</v>
      </c>
      <c r="E1024">
        <v>2023</v>
      </c>
    </row>
    <row r="1025" spans="1:5" x14ac:dyDescent="0.25">
      <c r="A1025" t="s">
        <v>17</v>
      </c>
      <c r="B1025" s="1">
        <v>45323</v>
      </c>
      <c r="C1025" s="2">
        <v>688.2</v>
      </c>
      <c r="D1025" t="s">
        <v>16</v>
      </c>
      <c r="E1025">
        <v>2024</v>
      </c>
    </row>
    <row r="1026" spans="1:5" x14ac:dyDescent="0.25">
      <c r="A1026" t="s">
        <v>17</v>
      </c>
      <c r="B1026" s="1">
        <v>45292</v>
      </c>
      <c r="C1026" s="2">
        <v>675.54549999999995</v>
      </c>
      <c r="D1026" t="s">
        <v>5</v>
      </c>
      <c r="E1026">
        <v>2024</v>
      </c>
    </row>
    <row r="1027" spans="1:5" hidden="1" x14ac:dyDescent="0.25">
      <c r="A1027" t="s">
        <v>17</v>
      </c>
      <c r="B1027" s="1">
        <v>45200</v>
      </c>
      <c r="C1027" s="2">
        <v>644.61540000000002</v>
      </c>
      <c r="D1027" t="s">
        <v>49</v>
      </c>
      <c r="E1027">
        <v>2023</v>
      </c>
    </row>
    <row r="1028" spans="1:5" hidden="1" x14ac:dyDescent="0.25">
      <c r="A1028" t="s">
        <v>17</v>
      </c>
      <c r="B1028" s="1">
        <v>45231</v>
      </c>
      <c r="C1028" s="2">
        <v>639.27269999999999</v>
      </c>
      <c r="D1028" t="s">
        <v>53</v>
      </c>
      <c r="E1028">
        <v>2023</v>
      </c>
    </row>
    <row r="1029" spans="1:5" hidden="1" x14ac:dyDescent="0.25">
      <c r="A1029" t="s">
        <v>17</v>
      </c>
      <c r="B1029" s="1">
        <v>45170</v>
      </c>
      <c r="C1029" s="2">
        <v>629.23080000000004</v>
      </c>
      <c r="D1029" t="s">
        <v>51</v>
      </c>
      <c r="E1029">
        <v>2023</v>
      </c>
    </row>
    <row r="1030" spans="1:5" hidden="1" x14ac:dyDescent="0.25">
      <c r="A1030" t="s">
        <v>17</v>
      </c>
      <c r="B1030" s="1">
        <v>45139</v>
      </c>
      <c r="C1030" s="2">
        <v>628.88890000000004</v>
      </c>
      <c r="D1030" t="s">
        <v>50</v>
      </c>
      <c r="E1030">
        <v>2023</v>
      </c>
    </row>
    <row r="1031" spans="1:5" hidden="1" x14ac:dyDescent="0.25">
      <c r="A1031" t="s">
        <v>17</v>
      </c>
      <c r="B1031" s="1">
        <v>45108</v>
      </c>
      <c r="C1031" s="2">
        <v>624.28570000000002</v>
      </c>
      <c r="D1031" t="s">
        <v>47</v>
      </c>
      <c r="E1031">
        <v>2023</v>
      </c>
    </row>
    <row r="1032" spans="1:5" hidden="1" x14ac:dyDescent="0.25">
      <c r="A1032" t="s">
        <v>17</v>
      </c>
      <c r="B1032" s="1">
        <v>45078</v>
      </c>
      <c r="C1032" s="2">
        <v>562.30769999999995</v>
      </c>
      <c r="D1032" t="s">
        <v>48</v>
      </c>
      <c r="E1032">
        <v>2023</v>
      </c>
    </row>
    <row r="1033" spans="1:5" hidden="1" x14ac:dyDescent="0.25">
      <c r="A1033" t="s">
        <v>17</v>
      </c>
      <c r="B1033" s="1">
        <v>44958</v>
      </c>
      <c r="C1033" s="2">
        <v>250</v>
      </c>
      <c r="D1033" t="s">
        <v>16</v>
      </c>
      <c r="E1033">
        <v>2023</v>
      </c>
    </row>
    <row r="1034" spans="1:5" hidden="1" x14ac:dyDescent="0.25">
      <c r="A1034" t="s">
        <v>17</v>
      </c>
      <c r="B1034" s="1">
        <v>45017</v>
      </c>
      <c r="C1034" s="2">
        <v>231.66669999999999</v>
      </c>
      <c r="D1034" t="s">
        <v>11</v>
      </c>
      <c r="E1034">
        <v>2023</v>
      </c>
    </row>
    <row r="1035" spans="1:5" hidden="1" x14ac:dyDescent="0.25">
      <c r="A1035" t="s">
        <v>17</v>
      </c>
      <c r="B1035" s="1">
        <v>45047</v>
      </c>
      <c r="C1035" s="2">
        <v>216.36359999999999</v>
      </c>
      <c r="D1035" t="s">
        <v>9</v>
      </c>
      <c r="E1035">
        <v>2023</v>
      </c>
    </row>
    <row r="1036" spans="1:5" hidden="1" x14ac:dyDescent="0.25">
      <c r="A1036" t="s">
        <v>17</v>
      </c>
      <c r="B1036" s="1">
        <v>44927</v>
      </c>
      <c r="C1036" s="2">
        <v>215.28569999999999</v>
      </c>
      <c r="D1036" t="s">
        <v>5</v>
      </c>
      <c r="E1036">
        <v>2023</v>
      </c>
    </row>
    <row r="1037" spans="1:5" hidden="1" x14ac:dyDescent="0.25">
      <c r="A1037" t="s">
        <v>17</v>
      </c>
      <c r="B1037" s="1">
        <v>44986</v>
      </c>
      <c r="C1037" s="2">
        <v>202.5</v>
      </c>
      <c r="D1037" t="s">
        <v>13</v>
      </c>
      <c r="E1037">
        <v>2023</v>
      </c>
    </row>
    <row r="1038" spans="1:5" hidden="1" x14ac:dyDescent="0.25">
      <c r="A1038" t="s">
        <v>30</v>
      </c>
      <c r="B1038" s="1">
        <v>45748</v>
      </c>
      <c r="C1038" s="2">
        <v>1223.8859</v>
      </c>
      <c r="D1038" t="s">
        <v>11</v>
      </c>
      <c r="E1038">
        <v>2025</v>
      </c>
    </row>
    <row r="1039" spans="1:5" hidden="1" x14ac:dyDescent="0.25">
      <c r="A1039" t="s">
        <v>30</v>
      </c>
      <c r="B1039" s="1">
        <v>45689</v>
      </c>
      <c r="C1039" s="2">
        <v>1204.2856999999999</v>
      </c>
      <c r="D1039" t="s">
        <v>16</v>
      </c>
      <c r="E1039">
        <v>2025</v>
      </c>
    </row>
    <row r="1040" spans="1:5" hidden="1" x14ac:dyDescent="0.25">
      <c r="A1040" t="s">
        <v>30</v>
      </c>
      <c r="B1040" s="1">
        <v>45717</v>
      </c>
      <c r="C1040" s="2">
        <v>1200.6319000000001</v>
      </c>
      <c r="D1040" t="s">
        <v>13</v>
      </c>
      <c r="E1040">
        <v>2025</v>
      </c>
    </row>
    <row r="1041" spans="1:5" x14ac:dyDescent="0.25">
      <c r="A1041" t="s">
        <v>30</v>
      </c>
      <c r="B1041" s="1">
        <v>45597</v>
      </c>
      <c r="C1041" s="2">
        <v>1192.3077000000001</v>
      </c>
      <c r="D1041" t="s">
        <v>53</v>
      </c>
      <c r="E1041">
        <v>2024</v>
      </c>
    </row>
    <row r="1042" spans="1:5" x14ac:dyDescent="0.25">
      <c r="A1042" t="s">
        <v>30</v>
      </c>
      <c r="B1042" s="1">
        <v>45566</v>
      </c>
      <c r="C1042" s="2">
        <v>1164.2856999999999</v>
      </c>
      <c r="D1042" t="s">
        <v>49</v>
      </c>
      <c r="E1042">
        <v>2024</v>
      </c>
    </row>
    <row r="1043" spans="1:5" x14ac:dyDescent="0.25">
      <c r="A1043" t="s">
        <v>30</v>
      </c>
      <c r="B1043" s="1">
        <v>45627</v>
      </c>
      <c r="C1043" s="2">
        <v>1160</v>
      </c>
      <c r="D1043" t="s">
        <v>52</v>
      </c>
      <c r="E1043">
        <v>2024</v>
      </c>
    </row>
    <row r="1044" spans="1:5" hidden="1" x14ac:dyDescent="0.25">
      <c r="A1044" t="s">
        <v>30</v>
      </c>
      <c r="B1044" s="1">
        <v>45658</v>
      </c>
      <c r="C1044" s="2">
        <v>1104.2856999999999</v>
      </c>
      <c r="D1044" t="s">
        <v>5</v>
      </c>
      <c r="E1044">
        <v>2025</v>
      </c>
    </row>
    <row r="1045" spans="1:5" x14ac:dyDescent="0.25">
      <c r="A1045" t="s">
        <v>30</v>
      </c>
      <c r="B1045" s="1">
        <v>45536</v>
      </c>
      <c r="C1045" s="2">
        <v>1022</v>
      </c>
      <c r="D1045" t="s">
        <v>51</v>
      </c>
      <c r="E1045">
        <v>2024</v>
      </c>
    </row>
    <row r="1046" spans="1:5" x14ac:dyDescent="0.25">
      <c r="A1046" t="s">
        <v>30</v>
      </c>
      <c r="B1046" s="1">
        <v>45505</v>
      </c>
      <c r="C1046" s="2">
        <v>887.69230000000005</v>
      </c>
      <c r="D1046" t="s">
        <v>50</v>
      </c>
      <c r="E1046">
        <v>2024</v>
      </c>
    </row>
    <row r="1047" spans="1:5" x14ac:dyDescent="0.25">
      <c r="A1047" t="s">
        <v>30</v>
      </c>
      <c r="B1047" s="1">
        <v>45413</v>
      </c>
      <c r="C1047" s="2">
        <v>835.83330000000001</v>
      </c>
      <c r="D1047" t="s">
        <v>9</v>
      </c>
      <c r="E1047">
        <v>2024</v>
      </c>
    </row>
    <row r="1048" spans="1:5" x14ac:dyDescent="0.25">
      <c r="A1048" t="s">
        <v>30</v>
      </c>
      <c r="B1048" s="1">
        <v>45474</v>
      </c>
      <c r="C1048" s="2">
        <v>797.14290000000005</v>
      </c>
      <c r="D1048" t="s">
        <v>47</v>
      </c>
      <c r="E1048">
        <v>2024</v>
      </c>
    </row>
    <row r="1049" spans="1:5" x14ac:dyDescent="0.25">
      <c r="A1049" t="s">
        <v>30</v>
      </c>
      <c r="B1049" s="1">
        <v>45292</v>
      </c>
      <c r="C1049" s="2">
        <v>771.42859999999996</v>
      </c>
      <c r="D1049" t="s">
        <v>5</v>
      </c>
      <c r="E1049">
        <v>2024</v>
      </c>
    </row>
    <row r="1050" spans="1:5" x14ac:dyDescent="0.25">
      <c r="A1050" t="s">
        <v>30</v>
      </c>
      <c r="B1050" s="1">
        <v>45444</v>
      </c>
      <c r="C1050" s="2">
        <v>760.38459999999998</v>
      </c>
      <c r="D1050" t="s">
        <v>48</v>
      </c>
      <c r="E1050">
        <v>2024</v>
      </c>
    </row>
    <row r="1051" spans="1:5" x14ac:dyDescent="0.25">
      <c r="A1051" t="s">
        <v>30</v>
      </c>
      <c r="B1051" s="1">
        <v>45383</v>
      </c>
      <c r="C1051" s="2">
        <v>754.28570000000002</v>
      </c>
      <c r="D1051" t="s">
        <v>11</v>
      </c>
      <c r="E1051">
        <v>2024</v>
      </c>
    </row>
    <row r="1052" spans="1:5" x14ac:dyDescent="0.25">
      <c r="A1052" t="s">
        <v>30</v>
      </c>
      <c r="B1052" s="1">
        <v>45323</v>
      </c>
      <c r="C1052" s="2">
        <v>750.43</v>
      </c>
      <c r="D1052" t="s">
        <v>16</v>
      </c>
      <c r="E1052">
        <v>2024</v>
      </c>
    </row>
    <row r="1053" spans="1:5" x14ac:dyDescent="0.25">
      <c r="A1053" t="s">
        <v>30</v>
      </c>
      <c r="B1053" s="1">
        <v>45352</v>
      </c>
      <c r="C1053" s="2">
        <v>704.09090000000003</v>
      </c>
      <c r="D1053" t="s">
        <v>13</v>
      </c>
      <c r="E1053">
        <v>2024</v>
      </c>
    </row>
    <row r="1054" spans="1:5" hidden="1" x14ac:dyDescent="0.25">
      <c r="A1054" t="s">
        <v>30</v>
      </c>
      <c r="B1054" s="1">
        <v>45261</v>
      </c>
      <c r="C1054" s="2">
        <v>688.4615</v>
      </c>
      <c r="D1054" t="s">
        <v>52</v>
      </c>
      <c r="E1054">
        <v>2023</v>
      </c>
    </row>
    <row r="1055" spans="1:5" hidden="1" x14ac:dyDescent="0.25">
      <c r="A1055" t="s">
        <v>30</v>
      </c>
      <c r="B1055" s="1">
        <v>45200</v>
      </c>
      <c r="C1055" s="2">
        <v>659.375</v>
      </c>
      <c r="D1055" t="s">
        <v>49</v>
      </c>
      <c r="E1055">
        <v>2023</v>
      </c>
    </row>
    <row r="1056" spans="1:5" hidden="1" x14ac:dyDescent="0.25">
      <c r="A1056" t="s">
        <v>30</v>
      </c>
      <c r="B1056" s="1">
        <v>45231</v>
      </c>
      <c r="C1056" s="2">
        <v>648</v>
      </c>
      <c r="D1056" t="s">
        <v>53</v>
      </c>
      <c r="E1056">
        <v>2023</v>
      </c>
    </row>
    <row r="1057" spans="1:5" hidden="1" x14ac:dyDescent="0.25">
      <c r="A1057" t="s">
        <v>30</v>
      </c>
      <c r="B1057" s="1">
        <v>45139</v>
      </c>
      <c r="C1057" s="2">
        <v>622.72730000000001</v>
      </c>
      <c r="D1057" t="s">
        <v>50</v>
      </c>
      <c r="E1057">
        <v>2023</v>
      </c>
    </row>
    <row r="1058" spans="1:5" hidden="1" x14ac:dyDescent="0.25">
      <c r="A1058" t="s">
        <v>30</v>
      </c>
      <c r="B1058" s="1">
        <v>45170</v>
      </c>
      <c r="C1058" s="2">
        <v>621.57140000000004</v>
      </c>
      <c r="D1058" t="s">
        <v>51</v>
      </c>
      <c r="E1058">
        <v>2023</v>
      </c>
    </row>
    <row r="1059" spans="1:5" hidden="1" x14ac:dyDescent="0.25">
      <c r="A1059" t="s">
        <v>30</v>
      </c>
      <c r="B1059" s="1">
        <v>45108</v>
      </c>
      <c r="C1059" s="2">
        <v>620</v>
      </c>
      <c r="D1059" t="s">
        <v>47</v>
      </c>
      <c r="E1059">
        <v>2023</v>
      </c>
    </row>
    <row r="1060" spans="1:5" hidden="1" x14ac:dyDescent="0.25">
      <c r="A1060" t="s">
        <v>30</v>
      </c>
      <c r="B1060" s="1">
        <v>45078</v>
      </c>
      <c r="C1060" s="2">
        <v>549.09090000000003</v>
      </c>
      <c r="D1060" t="s">
        <v>48</v>
      </c>
      <c r="E1060">
        <v>2023</v>
      </c>
    </row>
    <row r="1061" spans="1:5" hidden="1" x14ac:dyDescent="0.25">
      <c r="A1061" t="s">
        <v>30</v>
      </c>
      <c r="B1061" s="1">
        <v>44986</v>
      </c>
      <c r="C1061" s="2">
        <v>303.18180000000001</v>
      </c>
      <c r="D1061" t="s">
        <v>13</v>
      </c>
      <c r="E1061">
        <v>2023</v>
      </c>
    </row>
    <row r="1062" spans="1:5" hidden="1" x14ac:dyDescent="0.25">
      <c r="A1062" t="s">
        <v>30</v>
      </c>
      <c r="B1062" s="1">
        <v>44958</v>
      </c>
      <c r="C1062" s="2">
        <v>252.08330000000001</v>
      </c>
      <c r="D1062" t="s">
        <v>16</v>
      </c>
      <c r="E1062">
        <v>2023</v>
      </c>
    </row>
    <row r="1063" spans="1:5" hidden="1" x14ac:dyDescent="0.25">
      <c r="A1063" t="s">
        <v>30</v>
      </c>
      <c r="B1063" s="1">
        <v>45047</v>
      </c>
      <c r="C1063" s="2">
        <v>243.27269999999999</v>
      </c>
      <c r="D1063" t="s">
        <v>9</v>
      </c>
      <c r="E1063">
        <v>2023</v>
      </c>
    </row>
    <row r="1064" spans="1:5" hidden="1" x14ac:dyDescent="0.25">
      <c r="A1064" t="s">
        <v>30</v>
      </c>
      <c r="B1064" s="1">
        <v>44927</v>
      </c>
      <c r="C1064" s="2">
        <v>235.42859999999999</v>
      </c>
      <c r="D1064" t="s">
        <v>5</v>
      </c>
      <c r="E1064">
        <v>2023</v>
      </c>
    </row>
    <row r="1065" spans="1:5" hidden="1" x14ac:dyDescent="0.25">
      <c r="A1065" t="s">
        <v>30</v>
      </c>
      <c r="B1065" s="1">
        <v>45017</v>
      </c>
      <c r="C1065" s="2">
        <v>217.05879999999999</v>
      </c>
      <c r="D1065" t="s">
        <v>11</v>
      </c>
      <c r="E1065">
        <v>2023</v>
      </c>
    </row>
    <row r="1067" spans="1:5" x14ac:dyDescent="0.25">
      <c r="B1067" t="s">
        <v>96</v>
      </c>
      <c r="C1067">
        <v>2023</v>
      </c>
      <c r="D1067" s="2">
        <f>AVERAGE(C16:C1065)</f>
        <v>750.41244695238095</v>
      </c>
    </row>
    <row r="1068" spans="1:5" x14ac:dyDescent="0.25">
      <c r="C1068">
        <v>2024</v>
      </c>
      <c r="D1068" s="2">
        <f>AVERAGE(C4:C1053)</f>
        <v>756.39172238095216</v>
      </c>
    </row>
    <row r="1069" spans="1:5" x14ac:dyDescent="0.25">
      <c r="C1069">
        <v>2025</v>
      </c>
      <c r="D1069" s="2">
        <f>AVERAGE(C2:C1044)</f>
        <v>756.99068139980807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0A98E-CA54-40B5-9738-DC2FCDFCBD06}">
  <dimension ref="A1:S68"/>
  <sheetViews>
    <sheetView zoomScale="70" zoomScaleNormal="70" workbookViewId="0">
      <selection activeCell="N17" sqref="N17"/>
    </sheetView>
  </sheetViews>
  <sheetFormatPr defaultRowHeight="15" x14ac:dyDescent="0.25"/>
  <cols>
    <col min="1" max="1" width="17.85546875" bestFit="1" customWidth="1"/>
    <col min="2" max="2" width="17.28515625" bestFit="1" customWidth="1"/>
    <col min="3" max="3" width="8" bestFit="1" customWidth="1"/>
    <col min="4" max="4" width="10" bestFit="1" customWidth="1"/>
    <col min="5" max="5" width="7.5703125" bestFit="1" customWidth="1"/>
    <col min="6" max="6" width="17.85546875" bestFit="1" customWidth="1"/>
    <col min="7" max="7" width="22" bestFit="1" customWidth="1"/>
    <col min="8" max="8" width="17.42578125" bestFit="1" customWidth="1"/>
    <col min="9" max="9" width="11.5703125" bestFit="1" customWidth="1"/>
    <col min="10" max="10" width="15.42578125" bestFit="1" customWidth="1"/>
    <col min="11" max="11" width="14.85546875" bestFit="1" customWidth="1"/>
    <col min="12" max="12" width="19.140625" bestFit="1" customWidth="1"/>
    <col min="13" max="14" width="17.28515625" bestFit="1" customWidth="1"/>
    <col min="15" max="15" width="17.85546875" bestFit="1" customWidth="1"/>
    <col min="16" max="16" width="17.28515625" bestFit="1" customWidth="1"/>
    <col min="17" max="17" width="7.7109375" bestFit="1" customWidth="1"/>
  </cols>
  <sheetData>
    <row r="1" spans="1:17" x14ac:dyDescent="0.25">
      <c r="A1" s="3" t="s">
        <v>3</v>
      </c>
      <c r="B1" s="4">
        <v>2025</v>
      </c>
      <c r="F1" s="3" t="s">
        <v>82</v>
      </c>
      <c r="G1" t="s">
        <v>5</v>
      </c>
      <c r="L1" s="3" t="s">
        <v>82</v>
      </c>
      <c r="M1" t="s">
        <v>5</v>
      </c>
    </row>
    <row r="2" spans="1:17" x14ac:dyDescent="0.25">
      <c r="A2" s="3" t="s">
        <v>82</v>
      </c>
      <c r="B2" t="s">
        <v>16</v>
      </c>
      <c r="F2" s="3" t="s">
        <v>102</v>
      </c>
      <c r="G2" t="s">
        <v>97</v>
      </c>
      <c r="L2" s="3" t="s">
        <v>102</v>
      </c>
      <c r="M2" t="s">
        <v>97</v>
      </c>
    </row>
    <row r="3" spans="1:17" x14ac:dyDescent="0.25">
      <c r="F3" s="5" t="s">
        <v>85</v>
      </c>
      <c r="G3" s="5"/>
      <c r="L3" t="s">
        <v>99</v>
      </c>
    </row>
    <row r="4" spans="1:17" x14ac:dyDescent="0.25">
      <c r="A4" s="3" t="s">
        <v>83</v>
      </c>
      <c r="B4" t="s">
        <v>84</v>
      </c>
      <c r="C4" t="s">
        <v>103</v>
      </c>
      <c r="D4" t="s">
        <v>104</v>
      </c>
      <c r="F4" s="3" t="s">
        <v>83</v>
      </c>
      <c r="G4" t="s">
        <v>84</v>
      </c>
      <c r="J4" s="6">
        <f>MAX(I5:I9)*1.2</f>
        <v>1965.9999599999999</v>
      </c>
      <c r="L4" s="3" t="s">
        <v>83</v>
      </c>
      <c r="M4" t="s">
        <v>84</v>
      </c>
      <c r="P4" s="6">
        <f>MAX(O5:O9)*1.2</f>
        <v>1296</v>
      </c>
    </row>
    <row r="5" spans="1:17" x14ac:dyDescent="0.25">
      <c r="A5" s="4" t="s">
        <v>33</v>
      </c>
      <c r="B5" s="6">
        <v>1272</v>
      </c>
      <c r="C5" t="str">
        <f t="shared" ref="C5:C41" si="0">A5</f>
        <v>Abia</v>
      </c>
      <c r="D5" s="6">
        <f>GETPIVOTDATA("PRICE",$A$4,"State ","Abia")</f>
        <v>1272</v>
      </c>
      <c r="F5" s="4" t="s">
        <v>31</v>
      </c>
      <c r="G5" s="6">
        <v>1483.3333</v>
      </c>
      <c r="H5" t="str">
        <f t="shared" ref="H5:I9" si="1">F5</f>
        <v>Cross River</v>
      </c>
      <c r="I5" s="6">
        <f t="shared" si="1"/>
        <v>1483.3333</v>
      </c>
      <c r="J5" s="6">
        <f>$J$4-I5</f>
        <v>482.66665999999987</v>
      </c>
      <c r="L5" s="4" t="s">
        <v>20</v>
      </c>
      <c r="M5" s="6">
        <v>1080</v>
      </c>
      <c r="N5" t="str">
        <f t="shared" ref="N5:O9" si="2">L5</f>
        <v>Anambra</v>
      </c>
      <c r="O5" s="6">
        <f t="shared" si="2"/>
        <v>1080</v>
      </c>
      <c r="P5" s="9">
        <f>$P$4-O5</f>
        <v>216</v>
      </c>
      <c r="Q5" s="3"/>
    </row>
    <row r="6" spans="1:17" x14ac:dyDescent="0.25">
      <c r="A6" s="4" t="s">
        <v>8</v>
      </c>
      <c r="B6" s="6">
        <v>1166</v>
      </c>
      <c r="C6" t="str">
        <f t="shared" si="0"/>
        <v>Abuja</v>
      </c>
      <c r="D6" s="6">
        <f>GETPIVOTDATA("PRICE",$A$4,"State ","Abuja")</f>
        <v>1166</v>
      </c>
      <c r="F6" s="4" t="s">
        <v>43</v>
      </c>
      <c r="G6" s="6">
        <v>1530</v>
      </c>
      <c r="H6" t="str">
        <f t="shared" si="1"/>
        <v>Jigawa</v>
      </c>
      <c r="I6" s="6">
        <f t="shared" si="1"/>
        <v>1530</v>
      </c>
      <c r="J6" s="6">
        <f t="shared" ref="J6:J8" si="3">$J$4-I6</f>
        <v>435.99995999999987</v>
      </c>
      <c r="L6" s="4" t="s">
        <v>22</v>
      </c>
      <c r="M6" s="6">
        <v>1000</v>
      </c>
      <c r="N6" t="str">
        <f t="shared" si="2"/>
        <v>Bayelsa</v>
      </c>
      <c r="O6" s="6">
        <f t="shared" si="2"/>
        <v>1000</v>
      </c>
      <c r="P6" s="6">
        <f t="shared" ref="P6:P9" si="4">$P$4-O6</f>
        <v>296</v>
      </c>
    </row>
    <row r="7" spans="1:17" x14ac:dyDescent="0.25">
      <c r="A7" s="4" t="s">
        <v>19</v>
      </c>
      <c r="B7" s="6">
        <v>1400</v>
      </c>
      <c r="C7" t="str">
        <f t="shared" si="0"/>
        <v>Adamawa</v>
      </c>
      <c r="D7" s="6">
        <f>GETPIVOTDATA("PRICE",$A$4,"State ","Adamawa")</f>
        <v>1400</v>
      </c>
      <c r="F7" s="4" t="s">
        <v>10</v>
      </c>
      <c r="G7" s="6">
        <v>1638.3333</v>
      </c>
      <c r="H7" t="str">
        <f t="shared" si="1"/>
        <v>Kaduna</v>
      </c>
      <c r="I7" s="6">
        <f t="shared" si="1"/>
        <v>1638.3333</v>
      </c>
      <c r="J7" s="6">
        <f t="shared" si="3"/>
        <v>327.66665999999987</v>
      </c>
      <c r="L7" s="4" t="s">
        <v>7</v>
      </c>
      <c r="M7" s="6">
        <v>1066.6667</v>
      </c>
      <c r="N7" t="str">
        <f t="shared" si="2"/>
        <v>Borno</v>
      </c>
      <c r="O7" s="6">
        <f t="shared" si="2"/>
        <v>1066.6667</v>
      </c>
      <c r="P7" s="6">
        <f t="shared" si="4"/>
        <v>229.33330000000001</v>
      </c>
    </row>
    <row r="8" spans="1:17" x14ac:dyDescent="0.25">
      <c r="A8" s="4" t="s">
        <v>25</v>
      </c>
      <c r="B8" s="6">
        <v>1162.5</v>
      </c>
      <c r="C8" t="str">
        <f t="shared" si="0"/>
        <v>Akwa Ibom</v>
      </c>
      <c r="D8" s="6">
        <f>GETPIVOTDATA("PRICE",$A$4,"State ","Akwa Ibom")</f>
        <v>1162.5</v>
      </c>
      <c r="F8" s="4" t="s">
        <v>36</v>
      </c>
      <c r="G8" s="6">
        <v>1541.6667</v>
      </c>
      <c r="H8" t="str">
        <f t="shared" si="1"/>
        <v>Kano</v>
      </c>
      <c r="I8" s="6">
        <f t="shared" si="1"/>
        <v>1541.6667</v>
      </c>
      <c r="J8" s="6">
        <f t="shared" si="3"/>
        <v>424.33325999999988</v>
      </c>
      <c r="L8" s="4" t="s">
        <v>35</v>
      </c>
      <c r="M8" s="6">
        <v>950</v>
      </c>
      <c r="N8" t="str">
        <f t="shared" si="2"/>
        <v>Osun</v>
      </c>
      <c r="O8" s="6">
        <f t="shared" si="2"/>
        <v>950</v>
      </c>
      <c r="P8" s="6">
        <f t="shared" si="4"/>
        <v>346</v>
      </c>
    </row>
    <row r="9" spans="1:17" x14ac:dyDescent="0.25">
      <c r="A9" s="4" t="s">
        <v>20</v>
      </c>
      <c r="B9" s="6">
        <v>1021.6667</v>
      </c>
      <c r="C9" t="str">
        <f t="shared" si="0"/>
        <v>Anambra</v>
      </c>
      <c r="D9" s="6">
        <f>GETPIVOTDATA("PRICE",$A$4,"State ","Anambra")</f>
        <v>1021.6667</v>
      </c>
      <c r="F9" s="4" t="s">
        <v>42</v>
      </c>
      <c r="G9" s="6">
        <v>1469.4444000000001</v>
      </c>
      <c r="H9" t="str">
        <f t="shared" si="1"/>
        <v>Katsina</v>
      </c>
      <c r="I9" s="6">
        <f t="shared" si="1"/>
        <v>1469.4444000000001</v>
      </c>
      <c r="J9" s="6">
        <f>$J$4-I9</f>
        <v>496.55555999999979</v>
      </c>
      <c r="L9" s="4" t="s">
        <v>29</v>
      </c>
      <c r="M9" s="6">
        <v>1015</v>
      </c>
      <c r="N9" t="str">
        <f t="shared" si="2"/>
        <v>Oyo</v>
      </c>
      <c r="O9" s="6">
        <f t="shared" si="2"/>
        <v>1015</v>
      </c>
      <c r="P9" s="6">
        <f t="shared" si="4"/>
        <v>281</v>
      </c>
    </row>
    <row r="10" spans="1:17" x14ac:dyDescent="0.25">
      <c r="A10" s="4" t="s">
        <v>18</v>
      </c>
      <c r="B10" s="6">
        <v>1090</v>
      </c>
      <c r="C10" t="str">
        <f t="shared" si="0"/>
        <v>Bauchi</v>
      </c>
      <c r="D10" s="6">
        <f>GETPIVOTDATA("PRICE",$A$4,"State ","Bauchi")</f>
        <v>1090</v>
      </c>
    </row>
    <row r="11" spans="1:17" x14ac:dyDescent="0.25">
      <c r="A11" s="4" t="s">
        <v>22</v>
      </c>
      <c r="B11" s="6">
        <v>1000</v>
      </c>
      <c r="C11" t="str">
        <f t="shared" si="0"/>
        <v>Bayelsa</v>
      </c>
      <c r="D11" s="6">
        <f>GETPIVOTDATA("PRICE",$A$4,"State ","Bayelsa")</f>
        <v>1000</v>
      </c>
    </row>
    <row r="12" spans="1:17" x14ac:dyDescent="0.25">
      <c r="A12" s="4" t="s">
        <v>12</v>
      </c>
      <c r="B12" s="6">
        <v>1450</v>
      </c>
      <c r="C12" t="str">
        <f t="shared" si="0"/>
        <v>Benue</v>
      </c>
      <c r="D12" s="6">
        <f>GETPIVOTDATA("PRICE",$A$4,"State ","Benue")</f>
        <v>1450</v>
      </c>
    </row>
    <row r="13" spans="1:17" x14ac:dyDescent="0.25">
      <c r="A13" s="4" t="s">
        <v>7</v>
      </c>
      <c r="B13" s="6">
        <v>1066.6667</v>
      </c>
      <c r="C13" t="str">
        <f t="shared" si="0"/>
        <v>Borno</v>
      </c>
      <c r="D13" s="6">
        <f>GETPIVOTDATA("PRICE",$A$4,"State ","Borno")</f>
        <v>1066.6667</v>
      </c>
      <c r="G13" t="s">
        <v>101</v>
      </c>
      <c r="H13" t="str">
        <f>"State with the lowest pms price: "&amp;INDEX(A6:A42,MATCH(MIN(B6:B42),B6:B42,0)) &amp; " (" &amp; TEXT(MIN(B6:B42), "₦0") &amp; ")"</f>
        <v>State with the lowest pms price: Ekiti (₦957)</v>
      </c>
    </row>
    <row r="14" spans="1:17" x14ac:dyDescent="0.25">
      <c r="A14" s="4" t="s">
        <v>31</v>
      </c>
      <c r="B14" s="6">
        <v>1477.7778000000001</v>
      </c>
      <c r="C14" t="str">
        <f t="shared" si="0"/>
        <v>Cross River</v>
      </c>
      <c r="D14" s="6">
        <f>GETPIVOTDATA("PRICE",A4,"State ","Cross River")</f>
        <v>1477.7778000000001</v>
      </c>
      <c r="G14" t="s">
        <v>100</v>
      </c>
      <c r="H14" t="str">
        <f>"State with the highest pms price: "&amp;INDEX(A6:A42,MATCH(MAX(B6:B42),B6:B42,0)) &amp; " (" &amp; TEXT(MAX(B6:B42), "₦0") &amp; ")"</f>
        <v>State with the highest pms price: Jigawa (₦1730)</v>
      </c>
      <c r="M14" t="s">
        <v>92</v>
      </c>
    </row>
    <row r="15" spans="1:17" x14ac:dyDescent="0.25">
      <c r="A15" s="4" t="s">
        <v>34</v>
      </c>
      <c r="B15" s="6">
        <v>1131.4286</v>
      </c>
      <c r="C15" t="str">
        <f t="shared" si="0"/>
        <v>Delta</v>
      </c>
      <c r="D15" s="6">
        <f>B15:B38</f>
        <v>1131.4286</v>
      </c>
      <c r="H15" s="6" t="str">
        <f>"Price Average: " &amp; TEXT(AVERAGE(B5:B41), "₦0")</f>
        <v>Price Average: ₦1246</v>
      </c>
      <c r="I15" s="6"/>
      <c r="M15" t="s">
        <v>93</v>
      </c>
      <c r="N15" t="s">
        <v>95</v>
      </c>
      <c r="O15" t="s">
        <v>94</v>
      </c>
    </row>
    <row r="16" spans="1:17" x14ac:dyDescent="0.25">
      <c r="A16" s="4" t="s">
        <v>39</v>
      </c>
      <c r="B16" s="6">
        <v>1140</v>
      </c>
      <c r="C16" t="str">
        <f t="shared" si="0"/>
        <v>Ebonyi</v>
      </c>
      <c r="D16" s="6">
        <f>GETPIVOTDATA("PRICE",$A$4,"State ","Ebonyi")</f>
        <v>1140</v>
      </c>
      <c r="M16" s="4" t="s">
        <v>43</v>
      </c>
      <c r="N16" s="7" t="e">
        <f>GETPIVOTDATA("PRICE",$M$24,"State ","Jigawa")  &amp; " - "  &amp;  GETPIVOTDATA("PRICE",$O$24,"State ","Jigawa")</f>
        <v>#REF!</v>
      </c>
    </row>
    <row r="17" spans="1:19" x14ac:dyDescent="0.25">
      <c r="A17" s="4" t="s">
        <v>23</v>
      </c>
      <c r="B17" s="6">
        <v>1280</v>
      </c>
      <c r="C17" t="str">
        <f t="shared" si="0"/>
        <v>Edo</v>
      </c>
      <c r="D17" s="6">
        <f>GETPIVOTDATA("PRICE",$A$4,"State ","Edo")</f>
        <v>1280</v>
      </c>
      <c r="H17" t="s">
        <v>86</v>
      </c>
      <c r="M17" s="4" t="s">
        <v>28</v>
      </c>
      <c r="N17" s="7" t="e">
        <f>GETPIVOTDATA("PRICE",$M$24,"State ","Lagos") &amp; " - " &amp; GETPIVOTDATA("PRICE",$O$24,"State ","Lagos")</f>
        <v>#REF!</v>
      </c>
    </row>
    <row r="18" spans="1:19" x14ac:dyDescent="0.25">
      <c r="A18" s="4" t="s">
        <v>41</v>
      </c>
      <c r="B18" s="6">
        <v>956.66669999999999</v>
      </c>
      <c r="C18" t="str">
        <f t="shared" si="0"/>
        <v>Ekiti</v>
      </c>
      <c r="D18" s="6">
        <f>GETPIVOTDATA("PRICE",$A$4,"State ","Ekiti")</f>
        <v>956.66669999999999</v>
      </c>
      <c r="H18">
        <v>2023</v>
      </c>
      <c r="I18" s="2">
        <v>750.41244695238095</v>
      </c>
      <c r="M18" s="4" t="s">
        <v>4</v>
      </c>
      <c r="N18" s="7" t="e">
        <f>GETPIVOTDATA("PRICE",$M$24,"State ","Sokoto") &amp; " - " &amp; GETPIVOTDATA("PRICE",$O$24,"State ","Sokoto")</f>
        <v>#REF!</v>
      </c>
    </row>
    <row r="19" spans="1:19" x14ac:dyDescent="0.25">
      <c r="A19" s="4" t="s">
        <v>45</v>
      </c>
      <c r="B19" s="6">
        <v>1500</v>
      </c>
      <c r="C19" t="str">
        <f t="shared" si="0"/>
        <v>Enugu</v>
      </c>
      <c r="D19" s="6">
        <f>GETPIVOTDATA("PRICE",$A$4,"State ","Enugu")</f>
        <v>1500</v>
      </c>
      <c r="H19">
        <v>2024</v>
      </c>
      <c r="I19" s="2">
        <v>756.39172238095216</v>
      </c>
    </row>
    <row r="20" spans="1:19" x14ac:dyDescent="0.25">
      <c r="A20" s="4" t="s">
        <v>32</v>
      </c>
      <c r="B20" s="6">
        <v>1093.3333</v>
      </c>
      <c r="C20" t="str">
        <f t="shared" si="0"/>
        <v>Gombe</v>
      </c>
      <c r="D20" s="6">
        <f>GETPIVOTDATA("PRICE",$A$4,"State ","Gombe")</f>
        <v>1093.3333</v>
      </c>
      <c r="H20">
        <v>2025</v>
      </c>
      <c r="I20" s="2">
        <v>756.99068139980807</v>
      </c>
    </row>
    <row r="21" spans="1:19" x14ac:dyDescent="0.25">
      <c r="A21" s="4" t="s">
        <v>46</v>
      </c>
      <c r="B21" s="6">
        <v>1500</v>
      </c>
      <c r="C21" t="str">
        <f t="shared" si="0"/>
        <v>Imo</v>
      </c>
      <c r="D21" s="6">
        <f>GETPIVOTDATA("PRICE",$A$4,"State ","Imo")</f>
        <v>1500</v>
      </c>
      <c r="M21" s="3" t="s">
        <v>102</v>
      </c>
      <c r="N21" t="s">
        <v>98</v>
      </c>
      <c r="O21" s="3" t="s">
        <v>102</v>
      </c>
      <c r="P21" t="s">
        <v>97</v>
      </c>
    </row>
    <row r="22" spans="1:19" x14ac:dyDescent="0.25">
      <c r="A22" s="4" t="s">
        <v>43</v>
      </c>
      <c r="B22" s="6">
        <v>1730</v>
      </c>
      <c r="C22" t="str">
        <f t="shared" si="0"/>
        <v>Jigawa</v>
      </c>
      <c r="D22" s="6">
        <f>GETPIVOTDATA("PRICE",$A$4,"State ","Jigawa")</f>
        <v>1730</v>
      </c>
      <c r="F22" t="s">
        <v>110</v>
      </c>
      <c r="M22" s="3" t="s">
        <v>82</v>
      </c>
      <c r="N22" t="s">
        <v>13</v>
      </c>
      <c r="O22" s="3" t="s">
        <v>82</v>
      </c>
      <c r="P22" t="s">
        <v>11</v>
      </c>
    </row>
    <row r="23" spans="1:19" x14ac:dyDescent="0.25">
      <c r="A23" s="4" t="s">
        <v>10</v>
      </c>
      <c r="B23" s="6">
        <v>1660</v>
      </c>
      <c r="C23" t="str">
        <f t="shared" si="0"/>
        <v>Kaduna</v>
      </c>
      <c r="D23" s="6">
        <f>GETPIVOTDATA("PRICE",$A$4,"State ","Kaduna")</f>
        <v>1660</v>
      </c>
      <c r="F23" s="3" t="s">
        <v>83</v>
      </c>
      <c r="G23" t="s">
        <v>105</v>
      </c>
      <c r="H23" t="s">
        <v>87</v>
      </c>
      <c r="J23" t="s">
        <v>90</v>
      </c>
      <c r="K23" t="s">
        <v>91</v>
      </c>
    </row>
    <row r="24" spans="1:19" x14ac:dyDescent="0.25">
      <c r="A24" s="4" t="s">
        <v>36</v>
      </c>
      <c r="B24" s="6">
        <v>1587.5</v>
      </c>
      <c r="C24" t="str">
        <f t="shared" si="0"/>
        <v>Kano</v>
      </c>
      <c r="D24" s="6">
        <f>GETPIVOTDATA("PRICE",$A$4,"State ","Kano")</f>
        <v>1587.5</v>
      </c>
      <c r="F24" s="4" t="s">
        <v>106</v>
      </c>
      <c r="G24" s="6">
        <v>1258.3446105263156</v>
      </c>
      <c r="H24" t="s">
        <v>88</v>
      </c>
      <c r="M24" s="3" t="s">
        <v>83</v>
      </c>
      <c r="N24" t="s">
        <v>84</v>
      </c>
      <c r="O24" s="3" t="s">
        <v>83</v>
      </c>
      <c r="P24" t="s">
        <v>84</v>
      </c>
    </row>
    <row r="25" spans="1:19" x14ac:dyDescent="0.25">
      <c r="A25" s="4" t="s">
        <v>42</v>
      </c>
      <c r="B25" s="6">
        <v>1436.1111000000001</v>
      </c>
      <c r="C25" t="str">
        <f t="shared" si="0"/>
        <v>Katsina</v>
      </c>
      <c r="D25" s="6">
        <f>GETPIVOTDATA("PRICE",$A$4,"State ","Katsina")</f>
        <v>1436.1111000000001</v>
      </c>
      <c r="F25" s="4" t="s">
        <v>107</v>
      </c>
      <c r="G25" s="6">
        <v>1245.8011368421053</v>
      </c>
      <c r="O25" s="4" t="s">
        <v>31</v>
      </c>
      <c r="P25" s="6">
        <v>1301.6875</v>
      </c>
      <c r="Q25" s="8" t="e">
        <f>(GETPIVOTDATA("PRICE",$O$24,"State ","Cross River")-GETPIVOTDATA("PRICE",$M$24,"State ","Cross River"))/GETPIVOTDATA("PRICE",$M$24,"State ","Cross River")*100</f>
        <v>#REF!</v>
      </c>
      <c r="R25" s="4" t="str">
        <f>O25</f>
        <v>Cross River</v>
      </c>
      <c r="S25" s="8" t="e">
        <f>IF(Q25&gt;0,"▲","▼")&amp;TEXT(ABS(Q25),"0")&amp;"%"</f>
        <v>#REF!</v>
      </c>
    </row>
    <row r="26" spans="1:19" x14ac:dyDescent="0.25">
      <c r="A26" s="4" t="s">
        <v>44</v>
      </c>
      <c r="B26" s="6">
        <v>1090</v>
      </c>
      <c r="C26" t="str">
        <f t="shared" si="0"/>
        <v>Kebbi</v>
      </c>
      <c r="D26" s="6">
        <f>GETPIVOTDATA("PRICE",$A$4,"State ","Kebbi")</f>
        <v>1090</v>
      </c>
      <c r="F26" s="4" t="s">
        <v>108</v>
      </c>
      <c r="G26" s="6">
        <v>1261.6457684210525</v>
      </c>
      <c r="O26" s="4" t="s">
        <v>28</v>
      </c>
      <c r="P26" s="6">
        <v>1064.5762</v>
      </c>
      <c r="Q26" s="8" t="e">
        <f>(GETPIVOTDATA("PRICE",$O$24,"State ","Lagos")-GETPIVOTDATA("PRICE",$M$24,"State ","Lagos"))/GETPIVOTDATA("PRICE",$M$24,"State ","Lagos")*100</f>
        <v>#REF!</v>
      </c>
      <c r="R26" s="4" t="str">
        <f>O26</f>
        <v>Lagos</v>
      </c>
      <c r="S26" s="8" t="e">
        <f>IF(Q26&gt;0,"▲","▼")&amp;TEXT(ABS(Q26),"0")&amp;"%"</f>
        <v>#REF!</v>
      </c>
    </row>
    <row r="27" spans="1:19" x14ac:dyDescent="0.25">
      <c r="A27" s="4" t="s">
        <v>24</v>
      </c>
      <c r="B27" s="6">
        <v>1221.4286</v>
      </c>
      <c r="C27" t="str">
        <f t="shared" si="0"/>
        <v>Kogi</v>
      </c>
      <c r="D27" s="6">
        <f>GETPIVOTDATA("PRICE",$A$4,"State ","Kogi")</f>
        <v>1221.4286</v>
      </c>
      <c r="F27" s="4" t="s">
        <v>109</v>
      </c>
      <c r="G27" s="6">
        <v>1239.3271131578947</v>
      </c>
      <c r="O27" s="4" t="s">
        <v>43</v>
      </c>
      <c r="P27" s="6">
        <v>1567.8425999999999</v>
      </c>
      <c r="Q27" s="8" t="e">
        <f>(GETPIVOTDATA("PRICE",$O$24,"State ","Jigawa")-GETPIVOTDATA("PRICE",$M$24,"State ","Jigawa"))/GETPIVOTDATA("PRICE",$M$24,"State ","Jigawa")*100</f>
        <v>#REF!</v>
      </c>
      <c r="R27" s="4" t="str">
        <f>O27</f>
        <v>Jigawa</v>
      </c>
      <c r="S27" s="8" t="e">
        <f>IF(Q27&gt;0,"▲","▼")&amp;TEXT(ABS(Q27),"0")&amp;"%"</f>
        <v>#REF!</v>
      </c>
    </row>
    <row r="28" spans="1:19" x14ac:dyDescent="0.25">
      <c r="A28" s="4" t="s">
        <v>26</v>
      </c>
      <c r="B28" s="6">
        <v>1070</v>
      </c>
      <c r="C28" t="str">
        <f t="shared" si="0"/>
        <v>Kwara</v>
      </c>
      <c r="D28" s="6">
        <f>GETPIVOTDATA("PRICE",$A$4,"State ","Kwara")</f>
        <v>1070</v>
      </c>
      <c r="O28" s="4" t="s">
        <v>4</v>
      </c>
      <c r="P28" s="6">
        <v>1550</v>
      </c>
      <c r="Q28" s="8" t="e">
        <f>(GETPIVOTDATA("PRICE",$O$24,"State ","Sokoto")-GETPIVOTDATA("PRICE",$M$24,"State ","Sokoto"))/GETPIVOTDATA("PRICE",$M$24,"State ","Sokoto")*100</f>
        <v>#REF!</v>
      </c>
      <c r="R28" s="4" t="str">
        <f>O28</f>
        <v>Sokoto</v>
      </c>
      <c r="S28" s="8" t="e">
        <f>IF(Q28&gt;0,"▲","▼")&amp;TEXT(ABS(Q28),"0")&amp;"%"</f>
        <v>#REF!</v>
      </c>
    </row>
    <row r="29" spans="1:19" x14ac:dyDescent="0.25">
      <c r="A29" s="4" t="s">
        <v>28</v>
      </c>
      <c r="B29" s="6">
        <v>975.55560000000003</v>
      </c>
      <c r="C29" t="str">
        <f t="shared" si="0"/>
        <v>Lagos</v>
      </c>
      <c r="D29" s="6">
        <f>GETPIVOTDATA("PRICE",$A$4,"State ","Lagos")</f>
        <v>975.55560000000003</v>
      </c>
    </row>
    <row r="30" spans="1:19" x14ac:dyDescent="0.25">
      <c r="A30" s="4" t="s">
        <v>14</v>
      </c>
      <c r="B30" s="6">
        <v>1285.5413000000001</v>
      </c>
      <c r="C30" t="str">
        <f t="shared" si="0"/>
        <v>Nassarawa</v>
      </c>
      <c r="D30" s="6">
        <f>GETPIVOTDATA("PRICE",$A$4,"State ","Nassarawa")</f>
        <v>1285.5413000000001</v>
      </c>
    </row>
    <row r="31" spans="1:19" x14ac:dyDescent="0.25">
      <c r="A31" s="4" t="s">
        <v>15</v>
      </c>
      <c r="B31" s="6">
        <v>1386.6862000000001</v>
      </c>
      <c r="C31" t="str">
        <f t="shared" si="0"/>
        <v>Niger</v>
      </c>
      <c r="D31" s="6">
        <f>GETPIVOTDATA("PRICE",$A$4,"State ","Niger")</f>
        <v>1386.6862000000001</v>
      </c>
      <c r="L31" s="3" t="s">
        <v>83</v>
      </c>
      <c r="M31" t="s">
        <v>105</v>
      </c>
    </row>
    <row r="32" spans="1:19" x14ac:dyDescent="0.25">
      <c r="A32" s="4" t="s">
        <v>27</v>
      </c>
      <c r="B32" s="6">
        <v>1105</v>
      </c>
      <c r="C32" t="str">
        <f t="shared" si="0"/>
        <v>Ogun</v>
      </c>
      <c r="D32" s="6">
        <f>GETPIVOTDATA("PRICE",$A$4,"State ","Ogun")</f>
        <v>1105</v>
      </c>
      <c r="L32" s="4" t="s">
        <v>33</v>
      </c>
      <c r="M32" s="6">
        <v>774.94053928571429</v>
      </c>
      <c r="N32" s="4" t="s">
        <v>33</v>
      </c>
      <c r="O32" s="6">
        <v>774.94053928571429</v>
      </c>
    </row>
    <row r="33" spans="1:15" x14ac:dyDescent="0.25">
      <c r="A33" s="4" t="s">
        <v>38</v>
      </c>
      <c r="B33" s="6">
        <v>1005.5571</v>
      </c>
      <c r="C33" t="str">
        <f t="shared" si="0"/>
        <v>Ondo</v>
      </c>
      <c r="D33" s="6">
        <f>GETPIVOTDATA("PRICE",$A$4,"State ","Ondo")</f>
        <v>1005.5571</v>
      </c>
      <c r="L33" s="4" t="s">
        <v>8</v>
      </c>
      <c r="M33" s="6">
        <v>711.75310357142848</v>
      </c>
      <c r="N33" s="4" t="s">
        <v>8</v>
      </c>
      <c r="O33" s="6">
        <v>711.75310357142848</v>
      </c>
    </row>
    <row r="34" spans="1:15" x14ac:dyDescent="0.25">
      <c r="A34" s="4" t="s">
        <v>35</v>
      </c>
      <c r="B34" s="6">
        <v>972.5</v>
      </c>
      <c r="C34" t="str">
        <f t="shared" si="0"/>
        <v>Osun</v>
      </c>
      <c r="D34" s="6">
        <f>GETPIVOTDATA("PRICE",$A$4,"State ","Osun")</f>
        <v>972.5</v>
      </c>
      <c r="L34" s="4" t="s">
        <v>19</v>
      </c>
      <c r="M34" s="6">
        <v>792.90865714285712</v>
      </c>
      <c r="N34" s="4" t="s">
        <v>19</v>
      </c>
      <c r="O34" s="6">
        <v>792.90865714285712</v>
      </c>
    </row>
    <row r="35" spans="1:15" x14ac:dyDescent="0.25">
      <c r="A35" s="4" t="s">
        <v>29</v>
      </c>
      <c r="B35" s="6">
        <v>956.66669999999999</v>
      </c>
      <c r="C35" t="str">
        <f t="shared" si="0"/>
        <v>Oyo</v>
      </c>
      <c r="D35" s="6">
        <f>GETPIVOTDATA("PRICE",$A$4,"State ","Oyo")</f>
        <v>956.66669999999999</v>
      </c>
      <c r="H35" t="s">
        <v>89</v>
      </c>
      <c r="L35" s="4" t="s">
        <v>25</v>
      </c>
      <c r="M35" s="6">
        <v>745.10153928571413</v>
      </c>
      <c r="N35" s="4" t="s">
        <v>25</v>
      </c>
      <c r="O35" s="6">
        <v>745.10153928571413</v>
      </c>
    </row>
    <row r="36" spans="1:15" x14ac:dyDescent="0.25">
      <c r="A36" s="4" t="s">
        <v>6</v>
      </c>
      <c r="B36" s="6">
        <v>1446.9921999999999</v>
      </c>
      <c r="C36" t="str">
        <f t="shared" si="0"/>
        <v>Plateau</v>
      </c>
      <c r="D36" s="6">
        <f>GETPIVOTDATA("PRICE",$A$4,"State ","Plateau")</f>
        <v>1446.9921999999999</v>
      </c>
      <c r="L36" s="4" t="s">
        <v>20</v>
      </c>
      <c r="M36" s="6">
        <v>751.2034321428572</v>
      </c>
      <c r="N36" s="4" t="s">
        <v>20</v>
      </c>
      <c r="O36" s="6">
        <v>751.2034321428572</v>
      </c>
    </row>
    <row r="37" spans="1:15" x14ac:dyDescent="0.25">
      <c r="A37" s="4" t="s">
        <v>21</v>
      </c>
      <c r="B37" s="6">
        <v>1131.1111000000001</v>
      </c>
      <c r="C37" t="str">
        <f t="shared" si="0"/>
        <v>Rivers</v>
      </c>
      <c r="D37" s="6">
        <f>GETPIVOTDATA("PRICE",$A$4,"State ","Rivers")</f>
        <v>1131.1111000000001</v>
      </c>
      <c r="L37" s="4" t="s">
        <v>18</v>
      </c>
      <c r="M37" s="6">
        <v>740.54946785714299</v>
      </c>
      <c r="N37" s="4" t="s">
        <v>18</v>
      </c>
      <c r="O37" s="6">
        <v>740.54946785714299</v>
      </c>
    </row>
    <row r="38" spans="1:15" x14ac:dyDescent="0.25">
      <c r="A38" s="4" t="s">
        <v>4</v>
      </c>
      <c r="B38" s="6">
        <v>1680</v>
      </c>
      <c r="C38" t="str">
        <f t="shared" si="0"/>
        <v>Sokoto</v>
      </c>
      <c r="D38" s="6">
        <f>GETPIVOTDATA("PRICE",$A$4,"State ","Sokoto")</f>
        <v>1680</v>
      </c>
      <c r="L38" s="4" t="s">
        <v>22</v>
      </c>
      <c r="M38" s="6">
        <v>717.20767142857153</v>
      </c>
      <c r="N38" s="4" t="s">
        <v>22</v>
      </c>
      <c r="O38" s="6">
        <v>717.20767142857153</v>
      </c>
    </row>
    <row r="39" spans="1:15" x14ac:dyDescent="0.25">
      <c r="A39" s="4" t="s">
        <v>37</v>
      </c>
      <c r="B39" s="6">
        <v>1366.6667</v>
      </c>
      <c r="C39" t="str">
        <f t="shared" si="0"/>
        <v>Taraba</v>
      </c>
      <c r="D39" s="6">
        <f>GETPIVOTDATA("PRICE",$A$4,"State ","Taraba")</f>
        <v>1366.6667</v>
      </c>
      <c r="L39" s="4" t="s">
        <v>12</v>
      </c>
      <c r="M39" s="6">
        <v>788.31835357142859</v>
      </c>
      <c r="N39" s="4" t="s">
        <v>12</v>
      </c>
      <c r="O39" s="6">
        <v>788.31835357142859</v>
      </c>
    </row>
    <row r="40" spans="1:15" x14ac:dyDescent="0.25">
      <c r="A40" s="4" t="s">
        <v>17</v>
      </c>
      <c r="B40" s="6">
        <v>1075</v>
      </c>
      <c r="C40" t="str">
        <f t="shared" si="0"/>
        <v>Yobe</v>
      </c>
      <c r="D40" s="6">
        <f>GETPIVOTDATA("PRICE",$A$4,"State ","Yobe")</f>
        <v>1075</v>
      </c>
      <c r="L40" s="4" t="s">
        <v>7</v>
      </c>
      <c r="M40" s="6">
        <v>752.49776071428573</v>
      </c>
      <c r="N40" s="4" t="s">
        <v>7</v>
      </c>
      <c r="O40" s="6">
        <v>752.49776071428573</v>
      </c>
    </row>
    <row r="41" spans="1:15" x14ac:dyDescent="0.25">
      <c r="A41" s="4" t="s">
        <v>30</v>
      </c>
      <c r="B41" s="6">
        <v>1204.2856999999999</v>
      </c>
      <c r="C41" t="str">
        <f t="shared" si="0"/>
        <v>Zamfara</v>
      </c>
      <c r="D41" s="6">
        <f>GETPIVOTDATA("PRICE",$A$4,"State ","Zamfara")</f>
        <v>1204.2856999999999</v>
      </c>
      <c r="L41" s="4" t="s">
        <v>31</v>
      </c>
      <c r="M41" s="6">
        <v>775.63250000000005</v>
      </c>
      <c r="N41" s="4" t="s">
        <v>31</v>
      </c>
      <c r="O41" s="6">
        <v>775.63250000000005</v>
      </c>
    </row>
    <row r="42" spans="1:15" x14ac:dyDescent="0.25">
      <c r="L42" s="4" t="s">
        <v>34</v>
      </c>
      <c r="M42" s="6">
        <v>731.70668928571433</v>
      </c>
      <c r="N42" s="4" t="s">
        <v>34</v>
      </c>
      <c r="O42" s="6">
        <v>731.70668928571433</v>
      </c>
    </row>
    <row r="43" spans="1:15" x14ac:dyDescent="0.25">
      <c r="H43" s="3"/>
      <c r="L43" s="4" t="s">
        <v>39</v>
      </c>
      <c r="M43" s="6">
        <v>760.3299428571429</v>
      </c>
      <c r="N43" s="4" t="s">
        <v>39</v>
      </c>
      <c r="O43" s="6">
        <v>760.3299428571429</v>
      </c>
    </row>
    <row r="44" spans="1:15" x14ac:dyDescent="0.25">
      <c r="L44" s="4" t="s">
        <v>23</v>
      </c>
      <c r="M44" s="6">
        <v>738.00825714285713</v>
      </c>
      <c r="N44" s="4" t="s">
        <v>23</v>
      </c>
      <c r="O44" s="6">
        <v>738.00825714285713</v>
      </c>
    </row>
    <row r="45" spans="1:15" x14ac:dyDescent="0.25">
      <c r="L45" s="4" t="s">
        <v>41</v>
      </c>
      <c r="M45" s="6">
        <v>722.45029285714293</v>
      </c>
      <c r="N45" s="4" t="s">
        <v>41</v>
      </c>
      <c r="O45" s="6">
        <v>722.45029285714293</v>
      </c>
    </row>
    <row r="46" spans="1:15" x14ac:dyDescent="0.25">
      <c r="L46" s="4" t="s">
        <v>45</v>
      </c>
      <c r="M46" s="6">
        <v>804.58802857142848</v>
      </c>
      <c r="N46" s="4" t="s">
        <v>45</v>
      </c>
      <c r="O46" s="6">
        <v>804.58802857142848</v>
      </c>
    </row>
    <row r="47" spans="1:15" x14ac:dyDescent="0.25">
      <c r="L47" s="4" t="s">
        <v>32</v>
      </c>
      <c r="M47" s="6">
        <v>746.63129285714297</v>
      </c>
      <c r="N47" s="4" t="s">
        <v>32</v>
      </c>
      <c r="O47" s="6">
        <v>746.63129285714297</v>
      </c>
    </row>
    <row r="48" spans="1:15" x14ac:dyDescent="0.25">
      <c r="L48" s="4" t="s">
        <v>46</v>
      </c>
      <c r="M48" s="6">
        <v>811.88670000000002</v>
      </c>
      <c r="N48" s="4" t="s">
        <v>46</v>
      </c>
      <c r="O48" s="6">
        <v>811.88670000000002</v>
      </c>
    </row>
    <row r="49" spans="12:15" x14ac:dyDescent="0.25">
      <c r="L49" s="4" t="s">
        <v>43</v>
      </c>
      <c r="M49" s="6">
        <v>846.80762142857134</v>
      </c>
      <c r="N49" s="4" t="s">
        <v>43</v>
      </c>
      <c r="O49" s="6">
        <v>846.80762142857134</v>
      </c>
    </row>
    <row r="50" spans="12:15" x14ac:dyDescent="0.25">
      <c r="L50" s="4" t="s">
        <v>10</v>
      </c>
      <c r="M50" s="6">
        <v>804.31579642857139</v>
      </c>
      <c r="N50" s="4" t="s">
        <v>10</v>
      </c>
      <c r="O50" s="6">
        <v>804.31579642857139</v>
      </c>
    </row>
    <row r="51" spans="12:15" x14ac:dyDescent="0.25">
      <c r="L51" s="4" t="s">
        <v>36</v>
      </c>
      <c r="M51" s="6">
        <v>787.62002142857125</v>
      </c>
      <c r="N51" s="4" t="s">
        <v>36</v>
      </c>
      <c r="O51" s="6">
        <v>787.62002142857125</v>
      </c>
    </row>
    <row r="52" spans="12:15" x14ac:dyDescent="0.25">
      <c r="L52" s="4" t="s">
        <v>42</v>
      </c>
      <c r="M52" s="6">
        <v>776.62197142857156</v>
      </c>
      <c r="N52" s="4" t="s">
        <v>42</v>
      </c>
      <c r="O52" s="6">
        <v>776.62197142857156</v>
      </c>
    </row>
    <row r="53" spans="12:15" x14ac:dyDescent="0.25">
      <c r="L53" s="4" t="s">
        <v>44</v>
      </c>
      <c r="M53" s="6">
        <v>752.92232499999989</v>
      </c>
      <c r="N53" s="4" t="s">
        <v>44</v>
      </c>
      <c r="O53" s="6">
        <v>752.92232499999989</v>
      </c>
    </row>
    <row r="54" spans="12:15" x14ac:dyDescent="0.25">
      <c r="L54" s="4" t="s">
        <v>24</v>
      </c>
      <c r="M54" s="6">
        <v>748.76858571428579</v>
      </c>
      <c r="N54" s="4" t="s">
        <v>24</v>
      </c>
      <c r="O54" s="6">
        <v>748.76858571428579</v>
      </c>
    </row>
    <row r="55" spans="12:15" x14ac:dyDescent="0.25">
      <c r="L55" s="4" t="s">
        <v>26</v>
      </c>
      <c r="M55" s="6">
        <v>699.98572857142858</v>
      </c>
      <c r="N55" s="4" t="s">
        <v>26</v>
      </c>
      <c r="O55" s="6">
        <v>699.98572857142858</v>
      </c>
    </row>
    <row r="56" spans="12:15" x14ac:dyDescent="0.25">
      <c r="L56" s="4" t="s">
        <v>28</v>
      </c>
      <c r="M56" s="6">
        <v>685.89951785714277</v>
      </c>
      <c r="N56" s="4" t="s">
        <v>28</v>
      </c>
      <c r="O56" s="6">
        <v>685.89951785714277</v>
      </c>
    </row>
    <row r="57" spans="12:15" x14ac:dyDescent="0.25">
      <c r="L57" s="4" t="s">
        <v>14</v>
      </c>
      <c r="M57" s="6">
        <v>744.50692500000002</v>
      </c>
      <c r="N57" s="4" t="s">
        <v>14</v>
      </c>
      <c r="O57" s="6">
        <v>744.50692500000002</v>
      </c>
    </row>
    <row r="58" spans="12:15" x14ac:dyDescent="0.25">
      <c r="L58" s="4" t="s">
        <v>15</v>
      </c>
      <c r="M58" s="6">
        <v>737.87314285714285</v>
      </c>
      <c r="N58" s="4" t="s">
        <v>15</v>
      </c>
      <c r="O58" s="6">
        <v>737.87314285714285</v>
      </c>
    </row>
    <row r="59" spans="12:15" x14ac:dyDescent="0.25">
      <c r="L59" s="4" t="s">
        <v>27</v>
      </c>
      <c r="M59" s="6">
        <v>725.13324999999998</v>
      </c>
      <c r="N59" s="4" t="s">
        <v>27</v>
      </c>
      <c r="O59" s="6">
        <v>725.13324999999998</v>
      </c>
    </row>
    <row r="60" spans="12:15" x14ac:dyDescent="0.25">
      <c r="L60" s="4" t="s">
        <v>38</v>
      </c>
      <c r="M60" s="6">
        <v>726.50918571428576</v>
      </c>
      <c r="N60" s="4" t="s">
        <v>38</v>
      </c>
      <c r="O60" s="6">
        <v>726.50918571428576</v>
      </c>
    </row>
    <row r="61" spans="12:15" x14ac:dyDescent="0.25">
      <c r="L61" s="4" t="s">
        <v>35</v>
      </c>
      <c r="M61" s="6">
        <v>712.25873928571423</v>
      </c>
      <c r="N61" s="4" t="s">
        <v>35</v>
      </c>
      <c r="O61" s="6">
        <v>712.25873928571423</v>
      </c>
    </row>
    <row r="62" spans="12:15" x14ac:dyDescent="0.25">
      <c r="L62" s="4" t="s">
        <v>29</v>
      </c>
      <c r="M62" s="6">
        <v>711.55149285714288</v>
      </c>
      <c r="N62" s="4" t="s">
        <v>29</v>
      </c>
      <c r="O62" s="6">
        <v>711.55149285714288</v>
      </c>
    </row>
    <row r="63" spans="12:15" x14ac:dyDescent="0.25">
      <c r="L63" s="4" t="s">
        <v>6</v>
      </c>
      <c r="M63" s="6">
        <v>764.63148928571434</v>
      </c>
      <c r="N63" s="4" t="s">
        <v>6</v>
      </c>
      <c r="O63" s="6">
        <v>764.63148928571434</v>
      </c>
    </row>
    <row r="64" spans="12:15" x14ac:dyDescent="0.25">
      <c r="L64" s="4" t="s">
        <v>21</v>
      </c>
      <c r="M64" s="6">
        <v>747.80849999999998</v>
      </c>
      <c r="N64" s="4" t="s">
        <v>21</v>
      </c>
      <c r="O64" s="6">
        <v>747.80849999999998</v>
      </c>
    </row>
    <row r="65" spans="12:15" x14ac:dyDescent="0.25">
      <c r="L65" s="4" t="s">
        <v>4</v>
      </c>
      <c r="M65" s="6">
        <v>780.16128928571436</v>
      </c>
      <c r="N65" s="4" t="s">
        <v>4</v>
      </c>
      <c r="O65" s="6">
        <v>780.16128928571436</v>
      </c>
    </row>
    <row r="66" spans="12:15" x14ac:dyDescent="0.25">
      <c r="L66" s="4" t="s">
        <v>37</v>
      </c>
      <c r="M66" s="6">
        <v>799.26104285714302</v>
      </c>
      <c r="N66" s="4" t="s">
        <v>37</v>
      </c>
      <c r="O66" s="6">
        <v>799.26104285714302</v>
      </c>
    </row>
    <row r="67" spans="12:15" x14ac:dyDescent="0.25">
      <c r="L67" s="4" t="s">
        <v>17</v>
      </c>
      <c r="M67" s="6">
        <v>730.70544999999981</v>
      </c>
      <c r="N67" s="4" t="s">
        <v>17</v>
      </c>
      <c r="O67" s="6">
        <v>730.70544999999981</v>
      </c>
    </row>
    <row r="68" spans="12:15" x14ac:dyDescent="0.25">
      <c r="L68" s="4" t="s">
        <v>30</v>
      </c>
      <c r="M68" s="6">
        <v>756.90079285714296</v>
      </c>
      <c r="N68" s="4" t="s">
        <v>30</v>
      </c>
      <c r="O68" s="6">
        <v>756.90079285714296</v>
      </c>
    </row>
  </sheetData>
  <pageMargins left="0.7" right="0.7" top="0.75" bottom="0.75" header="0.3" footer="0.3"/>
  <pageSetup paperSize="119" orientation="portrait" horizontalDpi="4294967294" verticalDpi="0" r:id="rId8"/>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ABAE8-1790-480A-806A-E868F925A54D}">
  <dimension ref="AC17:AC20"/>
  <sheetViews>
    <sheetView showGridLines="0" tabSelected="1" view="pageBreakPreview" zoomScale="47" zoomScaleNormal="40" zoomScaleSheetLayoutView="47" workbookViewId="0">
      <selection activeCell="AZ52" sqref="AZ52"/>
    </sheetView>
  </sheetViews>
  <sheetFormatPr defaultColWidth="8.85546875" defaultRowHeight="15.75" x14ac:dyDescent="0.25"/>
  <cols>
    <col min="1" max="16384" width="8.85546875" style="10"/>
  </cols>
  <sheetData>
    <row r="17" spans="29:29" x14ac:dyDescent="0.25">
      <c r="AC17" s="10" t="e">
        <f>'Pivot Tables'!S25</f>
        <v>#REF!</v>
      </c>
    </row>
    <row r="18" spans="29:29" x14ac:dyDescent="0.25">
      <c r="AC18" s="10" t="e">
        <f>'Pivot Tables'!S26</f>
        <v>#REF!</v>
      </c>
    </row>
    <row r="19" spans="29:29" x14ac:dyDescent="0.25">
      <c r="AC19" s="10" t="e">
        <f>'Pivot Tables'!S27</f>
        <v>#REF!</v>
      </c>
    </row>
    <row r="20" spans="29:29" x14ac:dyDescent="0.25">
      <c r="AC20" s="10" t="e">
        <f>'Pivot Tables'!S28</f>
        <v>#REF!</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11E57E-FD0F-401E-994C-157D7DCB8E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13</vt:i4>
      </vt:variant>
    </vt:vector>
  </HeadingPairs>
  <TitlesOfParts>
    <vt:vector size="17" baseType="lpstr">
      <vt:lpstr>Table 1</vt:lpstr>
      <vt:lpstr>Table 2</vt:lpstr>
      <vt:lpstr>Pivot Tables</vt:lpstr>
      <vt:lpstr>Dashboard</vt:lpstr>
      <vt:lpstr>avgprices</vt:lpstr>
      <vt:lpstr>Cross</vt:lpstr>
      <vt:lpstr>HighestPmsPrice</vt:lpstr>
      <vt:lpstr>jigawa</vt:lpstr>
      <vt:lpstr>LowestPmsPrice</vt:lpstr>
      <vt:lpstr>percentage</vt:lpstr>
      <vt:lpstr>percentage2</vt:lpstr>
      <vt:lpstr>percentage3</vt:lpstr>
      <vt:lpstr>Percentage4</vt:lpstr>
      <vt:lpstr>PriceAverage</vt:lpstr>
      <vt:lpstr>sokoto</vt:lpstr>
      <vt:lpstr>StateswithVolatility</vt:lpstr>
      <vt:lpstr>Volatility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IFE</dc:creator>
  <cp:lastModifiedBy>Escher Silverman Global</cp:lastModifiedBy>
  <cp:lastPrinted>2026-07-02T09:08:49Z</cp:lastPrinted>
  <dcterms:created xsi:type="dcterms:W3CDTF">2025-07-07T18:58:18Z</dcterms:created>
  <dcterms:modified xsi:type="dcterms:W3CDTF">2026-07-02T09:09:08Z</dcterms:modified>
</cp:coreProperties>
</file>